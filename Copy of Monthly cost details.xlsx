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rob\Monthly cost of projects\"/>
    </mc:Choice>
  </mc:AlternateContent>
  <xr:revisionPtr revIDLastSave="0" documentId="13_ncr:1_{2A18E51B-C7D4-4D08-93AD-FAE33746728F}" xr6:coauthVersionLast="47" xr6:coauthVersionMax="47" xr10:uidLastSave="{00000000-0000-0000-0000-000000000000}"/>
  <bookViews>
    <workbookView xWindow="-120" yWindow="-120" windowWidth="29040" windowHeight="15990" activeTab="1" xr2:uid="{756FBE8A-0435-4D77-87CA-590624B45431}"/>
  </bookViews>
  <sheets>
    <sheet name="Income" sheetId="1" r:id="rId1"/>
    <sheet name="Expense" sheetId="6" r:id="rId2"/>
    <sheet name="Salary" sheetId="2" r:id="rId3"/>
    <sheet name="Common expense" sheetId="3" r:id="rId4"/>
    <sheet name="Miscellanous expense" sheetId="4" r:id="rId5"/>
    <sheet name="Profit draw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" l="1"/>
  <c r="B6" i="6" s="1"/>
  <c r="D8" i="4"/>
  <c r="B5" i="6" s="1"/>
  <c r="C7" i="3"/>
  <c r="B4" i="6" s="1"/>
  <c r="C8" i="2"/>
  <c r="B3" i="6" s="1"/>
  <c r="C6" i="6" l="1"/>
  <c r="D8" i="1"/>
</calcChain>
</file>

<file path=xl/sharedStrings.xml><?xml version="1.0" encoding="utf-8"?>
<sst xmlns="http://schemas.openxmlformats.org/spreadsheetml/2006/main" count="53" uniqueCount="37">
  <si>
    <t>Date</t>
  </si>
  <si>
    <t>Project name</t>
  </si>
  <si>
    <t>Expo group</t>
  </si>
  <si>
    <t>Cumilla basin</t>
  </si>
  <si>
    <t>UCB Bank</t>
  </si>
  <si>
    <t>Mercentile Bank</t>
  </si>
  <si>
    <t>Dhaka Bank</t>
  </si>
  <si>
    <t>PWD office</t>
  </si>
  <si>
    <t>Amount</t>
  </si>
  <si>
    <t>Total</t>
  </si>
  <si>
    <t>Person</t>
  </si>
  <si>
    <t>A</t>
  </si>
  <si>
    <t>B</t>
  </si>
  <si>
    <t>C</t>
  </si>
  <si>
    <t>D</t>
  </si>
  <si>
    <t>E</t>
  </si>
  <si>
    <t>F</t>
  </si>
  <si>
    <t>Salary</t>
  </si>
  <si>
    <t xml:space="preserve">Total </t>
  </si>
  <si>
    <t>Common salary</t>
  </si>
  <si>
    <t>Miscellanous item</t>
  </si>
  <si>
    <t>cigarette</t>
  </si>
  <si>
    <t>nasta</t>
  </si>
  <si>
    <t>cha</t>
  </si>
  <si>
    <t>pani</t>
  </si>
  <si>
    <t>amount</t>
  </si>
  <si>
    <t>Total amount</t>
  </si>
  <si>
    <t>Category</t>
  </si>
  <si>
    <t>Common expense</t>
  </si>
  <si>
    <t>miscellanous expense</t>
  </si>
  <si>
    <t>profit draw</t>
  </si>
  <si>
    <t>May 2026  income summary</t>
  </si>
  <si>
    <t>May 2026 salary summary</t>
  </si>
  <si>
    <t>May 2026 expense summary</t>
  </si>
  <si>
    <t>May 2026 profit draw summary</t>
  </si>
  <si>
    <t>May 2026 common expense</t>
  </si>
  <si>
    <t>May 2026 miscellanous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</si>
</sst>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3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5776-E406-4743-8ED3-D9B405044666}">
  <dimension ref="A1:D8"/>
  <sheetViews>
    <sheetView workbookViewId="0">
      <selection activeCell="I6" sqref="I6"/>
    </sheetView>
  </sheetViews>
  <sheetFormatPr defaultRowHeight="15" x14ac:dyDescent="0.25"/>
  <cols>
    <col min="2" max="2" width="15" customWidth="1"/>
  </cols>
  <sheetData>
    <row r="1" spans="1:4" ht="18.75" x14ac:dyDescent="0.3">
      <c r="A1" s="7" t="s">
        <v>31</v>
      </c>
      <c r="B1" s="8"/>
      <c r="C1" s="8"/>
      <c r="D1" s="9"/>
    </row>
    <row r="2" spans="1:4" x14ac:dyDescent="0.25">
      <c r="A2" s="4" t="s">
        <v>0</v>
      </c>
      <c r="B2" s="4" t="s">
        <v>1</v>
      </c>
      <c r="C2" s="5" t="s">
        <v>8</v>
      </c>
      <c r="D2" s="5" t="s">
        <v>9</v>
      </c>
    </row>
    <row r="3" spans="1:4" x14ac:dyDescent="0.25">
      <c r="A3" s="3">
        <v>46027</v>
      </c>
      <c r="B3" s="2" t="s">
        <v>2</v>
      </c>
      <c r="C3" s="2">
        <v>10000</v>
      </c>
      <c r="D3" s="2"/>
    </row>
    <row r="4" spans="1:4" x14ac:dyDescent="0.25">
      <c r="A4" s="3">
        <v>46058</v>
      </c>
      <c r="B4" s="2" t="s">
        <v>3</v>
      </c>
      <c r="C4" s="2">
        <v>20000</v>
      </c>
      <c r="D4" s="2"/>
    </row>
    <row r="5" spans="1:4" x14ac:dyDescent="0.25">
      <c r="A5" s="3">
        <v>46086</v>
      </c>
      <c r="B5" s="2" t="s">
        <v>4</v>
      </c>
      <c r="C5" s="2">
        <v>20000</v>
      </c>
      <c r="D5" s="2"/>
    </row>
    <row r="6" spans="1:4" x14ac:dyDescent="0.25">
      <c r="A6" s="3">
        <v>46117</v>
      </c>
      <c r="B6" s="2" t="s">
        <v>5</v>
      </c>
      <c r="C6" s="2">
        <v>20000</v>
      </c>
      <c r="D6" s="2"/>
    </row>
    <row r="7" spans="1:4" x14ac:dyDescent="0.25">
      <c r="A7" s="3">
        <v>46147</v>
      </c>
      <c r="B7" s="2" t="s">
        <v>6</v>
      </c>
      <c r="C7" s="2">
        <v>30000</v>
      </c>
      <c r="D7" s="2"/>
    </row>
    <row r="8" spans="1:4" x14ac:dyDescent="0.25">
      <c r="A8" s="3">
        <v>46178</v>
      </c>
      <c r="B8" s="2" t="s">
        <v>7</v>
      </c>
      <c r="C8" s="2">
        <v>25000</v>
      </c>
      <c r="D8" s="2">
        <f>SUM(C3:C8)</f>
        <v>125000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E069-A0E0-449C-B7E5-F4972E2AE18D}">
  <dimension ref="A1:C6"/>
  <sheetViews>
    <sheetView tabSelected="1" workbookViewId="0">
      <selection activeCell="B5" sqref="B5"/>
    </sheetView>
  </sheetViews>
  <sheetFormatPr defaultRowHeight="15" x14ac:dyDescent="0.25"/>
  <cols>
    <col min="1" max="1" width="21.85546875" customWidth="1"/>
  </cols>
  <sheetData>
    <row r="1" spans="1:3" ht="18.75" x14ac:dyDescent="0.3">
      <c r="A1" s="7" t="s">
        <v>33</v>
      </c>
      <c r="B1" s="8"/>
      <c r="C1" s="9"/>
    </row>
    <row r="2" spans="1:3" x14ac:dyDescent="0.25">
      <c r="A2" s="5" t="s">
        <v>27</v>
      </c>
      <c r="B2" s="5" t="s">
        <v>8</v>
      </c>
      <c r="C2" s="5" t="s">
        <v>9</v>
      </c>
    </row>
    <row r="3" spans="1:3" x14ac:dyDescent="0.25">
      <c r="A3" s="2" t="s">
        <v>17</v>
      </c>
      <c r="B3" s="2">
        <f>Salary!C8</f>
        <v>108456</v>
      </c>
      <c r="C3" s="2"/>
    </row>
    <row r="4" spans="1:3" x14ac:dyDescent="0.25">
      <c r="A4" s="2" t="s">
        <v>28</v>
      </c>
      <c r="B4" s="2">
        <f>'Common expense'!C7</f>
        <v>402312</v>
      </c>
      <c r="C4" s="2"/>
    </row>
    <row r="5" spans="1:3" x14ac:dyDescent="0.25">
      <c r="A5" s="2" t="s">
        <v>29</v>
      </c>
      <c r="B5" s="2">
        <f>'Miscellanous expense'!D8</f>
        <v>3381</v>
      </c>
      <c r="C5" s="2"/>
    </row>
    <row r="6" spans="1:3" x14ac:dyDescent="0.25">
      <c r="A6" s="2" t="s">
        <v>30</v>
      </c>
      <c r="B6" s="2">
        <f>'Profit draw'!C8</f>
        <v>200856</v>
      </c>
      <c r="C6" s="2">
        <f>SUM(B3:B6)</f>
        <v>715005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8587-1874-4AE0-84D7-4DBFC58597ED}">
  <dimension ref="A1:C8"/>
  <sheetViews>
    <sheetView workbookViewId="0">
      <selection activeCell="B4" sqref="B4"/>
    </sheetView>
  </sheetViews>
  <sheetFormatPr defaultRowHeight="15" x14ac:dyDescent="0.25"/>
  <cols>
    <col min="3" max="3" width="13.7109375" customWidth="1"/>
  </cols>
  <sheetData>
    <row r="1" spans="1:3" ht="18.75" x14ac:dyDescent="0.3">
      <c r="A1" s="7" t="s">
        <v>32</v>
      </c>
      <c r="B1" s="8"/>
      <c r="C1" s="9"/>
    </row>
    <row r="2" spans="1:3" x14ac:dyDescent="0.25">
      <c r="A2" s="5" t="s">
        <v>10</v>
      </c>
      <c r="B2" s="5" t="s">
        <v>17</v>
      </c>
      <c r="C2" s="5" t="s">
        <v>18</v>
      </c>
    </row>
    <row r="3" spans="1:3" x14ac:dyDescent="0.25">
      <c r="A3" s="2" t="s">
        <v>11</v>
      </c>
      <c r="B3" s="2">
        <v>23456</v>
      </c>
      <c r="C3" s="2"/>
    </row>
    <row r="4" spans="1:3" x14ac:dyDescent="0.25">
      <c r="A4" s="2" t="s">
        <v>12</v>
      </c>
      <c r="B4" s="2">
        <v>10000</v>
      </c>
      <c r="C4" s="2"/>
    </row>
    <row r="5" spans="1:3" x14ac:dyDescent="0.25">
      <c r="A5" s="2" t="s">
        <v>13</v>
      </c>
      <c r="B5" s="2">
        <v>10000</v>
      </c>
      <c r="C5" s="2"/>
    </row>
    <row r="6" spans="1:3" x14ac:dyDescent="0.25">
      <c r="A6" s="2" t="s">
        <v>14</v>
      </c>
      <c r="B6" s="2">
        <v>20000</v>
      </c>
      <c r="C6" s="2"/>
    </row>
    <row r="7" spans="1:3" x14ac:dyDescent="0.25">
      <c r="A7" s="2" t="s">
        <v>15</v>
      </c>
      <c r="B7" s="2">
        <v>25000</v>
      </c>
      <c r="C7" s="2"/>
    </row>
    <row r="8" spans="1:3" x14ac:dyDescent="0.25">
      <c r="A8" s="2" t="s">
        <v>16</v>
      </c>
      <c r="B8" s="2">
        <v>20000</v>
      </c>
      <c r="C8" s="2">
        <f>SUM(B3:B8)</f>
        <v>108456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1090-B7F4-47DF-A241-05FA78120368}">
  <dimension ref="A1:C8"/>
  <sheetViews>
    <sheetView workbookViewId="0">
      <selection activeCell="B6" sqref="B6"/>
    </sheetView>
  </sheetViews>
  <sheetFormatPr defaultRowHeight="15" x14ac:dyDescent="0.25"/>
  <cols>
    <col min="2" max="2" width="14.7109375" customWidth="1"/>
    <col min="3" max="3" width="19.28515625" customWidth="1"/>
  </cols>
  <sheetData>
    <row r="1" spans="1:3" ht="18.75" x14ac:dyDescent="0.3">
      <c r="A1" s="7" t="s">
        <v>35</v>
      </c>
      <c r="B1" s="8"/>
      <c r="C1" s="9"/>
    </row>
    <row r="2" spans="1:3" x14ac:dyDescent="0.25">
      <c r="A2" s="5" t="s">
        <v>10</v>
      </c>
      <c r="B2" s="5" t="s">
        <v>19</v>
      </c>
      <c r="C2" s="5" t="s">
        <v>9</v>
      </c>
    </row>
    <row r="3" spans="1:3" x14ac:dyDescent="0.25">
      <c r="A3" s="3" t="s">
        <v>11</v>
      </c>
      <c r="B3" s="2">
        <v>289078</v>
      </c>
      <c r="C3" s="2"/>
    </row>
    <row r="4" spans="1:3" x14ac:dyDescent="0.25">
      <c r="A4" s="3" t="s">
        <v>12</v>
      </c>
      <c r="B4" s="2">
        <v>29000</v>
      </c>
      <c r="C4" s="2"/>
    </row>
    <row r="5" spans="1:3" x14ac:dyDescent="0.25">
      <c r="A5" s="3" t="s">
        <v>13</v>
      </c>
      <c r="B5" s="2">
        <v>31234</v>
      </c>
      <c r="C5" s="2"/>
    </row>
    <row r="6" spans="1:3" x14ac:dyDescent="0.25">
      <c r="A6" s="3" t="s">
        <v>14</v>
      </c>
      <c r="B6" s="2">
        <v>23000</v>
      </c>
      <c r="C6" s="2"/>
    </row>
    <row r="7" spans="1:3" x14ac:dyDescent="0.25">
      <c r="A7" s="3" t="s">
        <v>15</v>
      </c>
      <c r="B7" s="2">
        <v>30000</v>
      </c>
      <c r="C7" s="2">
        <f>SUM(B3:B7)</f>
        <v>402312</v>
      </c>
    </row>
    <row r="8" spans="1:3" x14ac:dyDescent="0.25">
      <c r="A8" s="1"/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9DC1-3FF6-45A3-A620-CE31944CB8B1}">
  <dimension ref="A1:D8"/>
  <sheetViews>
    <sheetView workbookViewId="0">
      <selection activeCell="C8" sqref="C8"/>
    </sheetView>
  </sheetViews>
  <sheetFormatPr defaultRowHeight="15" x14ac:dyDescent="0.25"/>
  <cols>
    <col min="2" max="2" width="17" customWidth="1"/>
    <col min="4" max="4" width="15.28515625" customWidth="1"/>
  </cols>
  <sheetData>
    <row r="1" spans="1:4" ht="18.75" x14ac:dyDescent="0.3">
      <c r="A1" s="7" t="s">
        <v>36</v>
      </c>
      <c r="B1" s="8"/>
      <c r="C1" s="8"/>
      <c r="D1" s="9"/>
    </row>
    <row r="2" spans="1:4" x14ac:dyDescent="0.25">
      <c r="A2" s="6" t="s">
        <v>0</v>
      </c>
      <c r="B2" s="6" t="s">
        <v>20</v>
      </c>
      <c r="C2" s="6" t="s">
        <v>25</v>
      </c>
      <c r="D2" s="6" t="s">
        <v>26</v>
      </c>
    </row>
    <row r="3" spans="1:4" x14ac:dyDescent="0.25">
      <c r="A3" s="3">
        <v>46027</v>
      </c>
      <c r="B3" s="2" t="s">
        <v>21</v>
      </c>
      <c r="C3" s="2">
        <v>800</v>
      </c>
      <c r="D3" s="2"/>
    </row>
    <row r="4" spans="1:4" x14ac:dyDescent="0.25">
      <c r="A4" s="3">
        <v>46058</v>
      </c>
      <c r="B4" s="2" t="s">
        <v>22</v>
      </c>
      <c r="C4" s="2">
        <v>328</v>
      </c>
      <c r="D4" s="2"/>
    </row>
    <row r="5" spans="1:4" x14ac:dyDescent="0.25">
      <c r="A5" s="3">
        <v>46086</v>
      </c>
      <c r="B5" s="2" t="s">
        <v>23</v>
      </c>
      <c r="C5" s="2">
        <v>760</v>
      </c>
      <c r="D5" s="2"/>
    </row>
    <row r="6" spans="1:4" x14ac:dyDescent="0.25">
      <c r="A6" s="3">
        <v>46117</v>
      </c>
      <c r="B6" s="2" t="s">
        <v>24</v>
      </c>
      <c r="C6" s="2">
        <v>743</v>
      </c>
      <c r="D6" s="2"/>
    </row>
    <row r="7" spans="1:4" x14ac:dyDescent="0.25">
      <c r="A7" s="3">
        <v>46147</v>
      </c>
      <c r="B7" s="2" t="s">
        <v>22</v>
      </c>
      <c r="C7" s="2">
        <v>500</v>
      </c>
      <c r="D7" s="2"/>
    </row>
    <row r="8" spans="1:4" x14ac:dyDescent="0.25">
      <c r="A8" s="3">
        <v>46178</v>
      </c>
      <c r="B8" s="2" t="s">
        <v>22</v>
      </c>
      <c r="C8" s="2">
        <v>250</v>
      </c>
      <c r="D8" s="2">
        <f>SUM(C3:C8)</f>
        <v>3381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32E0-D00E-4A70-88D8-5F849AAC0937}">
  <dimension ref="A1:C8"/>
  <sheetViews>
    <sheetView workbookViewId="0">
      <selection activeCell="B5" sqref="B5"/>
    </sheetView>
  </sheetViews>
  <sheetFormatPr defaultRowHeight="15" x14ac:dyDescent="0.25"/>
  <cols>
    <col min="3" max="3" width="19.5703125" customWidth="1"/>
  </cols>
  <sheetData>
    <row r="1" spans="1:3" ht="18.75" x14ac:dyDescent="0.3">
      <c r="A1" s="7" t="s">
        <v>34</v>
      </c>
      <c r="B1" s="8"/>
      <c r="C1" s="9"/>
    </row>
    <row r="2" spans="1:3" x14ac:dyDescent="0.25">
      <c r="A2" s="5" t="s">
        <v>0</v>
      </c>
      <c r="B2" s="5" t="s">
        <v>8</v>
      </c>
      <c r="C2" s="5" t="s">
        <v>9</v>
      </c>
    </row>
    <row r="3" spans="1:3" x14ac:dyDescent="0.25">
      <c r="A3" s="3">
        <v>46027</v>
      </c>
      <c r="B3" s="2">
        <v>12389</v>
      </c>
      <c r="C3" s="2"/>
    </row>
    <row r="4" spans="1:3" x14ac:dyDescent="0.25">
      <c r="A4" s="3">
        <v>46058</v>
      </c>
      <c r="B4" s="2">
        <v>23467</v>
      </c>
      <c r="C4" s="2"/>
    </row>
    <row r="5" spans="1:3" x14ac:dyDescent="0.25">
      <c r="A5" s="3">
        <v>46086</v>
      </c>
      <c r="B5" s="2">
        <v>40000</v>
      </c>
      <c r="C5" s="2"/>
    </row>
    <row r="6" spans="1:3" x14ac:dyDescent="0.25">
      <c r="A6" s="3">
        <v>46117</v>
      </c>
      <c r="B6" s="2">
        <v>20000</v>
      </c>
      <c r="C6" s="2"/>
    </row>
    <row r="7" spans="1:3" x14ac:dyDescent="0.25">
      <c r="A7" s="3">
        <v>46178</v>
      </c>
      <c r="B7" s="2">
        <v>35000</v>
      </c>
      <c r="C7" s="2"/>
    </row>
    <row r="8" spans="1:3" x14ac:dyDescent="0.25">
      <c r="A8" s="3">
        <v>46208</v>
      </c>
      <c r="B8" s="2">
        <v>70000</v>
      </c>
      <c r="C8" s="2">
        <f>SUM(B3:B8)</f>
        <v>200856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Expense</vt:lpstr>
      <vt:lpstr>Salary</vt:lpstr>
      <vt:lpstr>Common expense</vt:lpstr>
      <vt:lpstr>Miscellanous expense</vt:lpstr>
      <vt:lpstr>Profit 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Archeground Ltd</dc:creator>
  <cp:lastModifiedBy>Archeground Ltd</cp:lastModifiedBy>
  <cp:lastPrinted>2026-05-12T11:40:02Z</cp:lastPrinted>
  <dcterms:created xsi:type="dcterms:W3CDTF">2026-05-12T09:53:05Z</dcterms:created>
  <dcterms:modified xsi:type="dcterms:W3CDTF">2026-05-12T14:05:37Z</dcterms:modified>
</cp:coreProperties>
</file>