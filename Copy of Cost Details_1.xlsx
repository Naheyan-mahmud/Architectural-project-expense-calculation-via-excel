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rob\Cost of Projects\"/>
    </mc:Choice>
  </mc:AlternateContent>
  <xr:revisionPtr revIDLastSave="0" documentId="13_ncr:1_{432B3D76-06B6-4003-8A11-02532A6B8A6F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Summary" sheetId="6" r:id="rId1"/>
    <sheet name="Contactors payment" sheetId="2" r:id="rId2"/>
    <sheet name="material cost" sheetId="3" r:id="rId3"/>
    <sheet name="Site expense and convence" sheetId="4" r:id="rId4"/>
    <sheet name="office overhead" sheetId="7" r:id="rId5"/>
    <sheet name="Received amount" sheetId="8" r:id="rId6"/>
    <sheet name="Updated balance" sheetId="1" r:id="rId7"/>
  </sheets>
  <definedNames>
    <definedName name="_xlnm._FilterDatabase" localSheetId="6" hidden="1">'Updated balance'!$B$1:$B$55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7" l="1"/>
  <c r="D4" i="7" s="1"/>
  <c r="E4" i="7" s="1"/>
  <c r="B6" i="6" s="1"/>
  <c r="C3" i="4"/>
  <c r="D27" i="3"/>
  <c r="D21" i="3"/>
  <c r="D15" i="3"/>
  <c r="D9" i="3"/>
  <c r="D3" i="3"/>
  <c r="D30" i="2"/>
  <c r="D23" i="2"/>
  <c r="D16" i="2"/>
  <c r="D10" i="2"/>
  <c r="D3" i="2"/>
  <c r="C7" i="8"/>
  <c r="D6" i="6" s="1"/>
  <c r="C4" i="4" l="1"/>
  <c r="C5" i="4" s="1"/>
  <c r="C6" i="4" s="1"/>
  <c r="C7" i="4" s="1"/>
  <c r="C8" i="4" s="1"/>
  <c r="C9" i="4" s="1"/>
  <c r="C10" i="4" s="1"/>
  <c r="D10" i="4" s="1"/>
  <c r="B5" i="6" s="1"/>
  <c r="D28" i="3"/>
  <c r="D29" i="3" s="1"/>
  <c r="D30" i="3" s="1"/>
  <c r="D31" i="3" s="1"/>
  <c r="E31" i="3" s="1"/>
  <c r="D22" i="3"/>
  <c r="D23" i="3" s="1"/>
  <c r="D24" i="3" s="1"/>
  <c r="D25" i="3" s="1"/>
  <c r="E25" i="3" s="1"/>
  <c r="D16" i="3"/>
  <c r="D17" i="3" s="1"/>
  <c r="D18" i="3" s="1"/>
  <c r="D19" i="3" s="1"/>
  <c r="E19" i="3" s="1"/>
  <c r="D10" i="3"/>
  <c r="D11" i="3" s="1"/>
  <c r="D12" i="3" s="1"/>
  <c r="D13" i="3" s="1"/>
  <c r="E13" i="3" s="1"/>
  <c r="D4" i="3"/>
  <c r="D5" i="3" s="1"/>
  <c r="D6" i="3" s="1"/>
  <c r="D7" i="3" s="1"/>
  <c r="E7" i="3" s="1"/>
  <c r="D31" i="2"/>
  <c r="D32" i="2" s="1"/>
  <c r="D33" i="2" s="1"/>
  <c r="D34" i="2" s="1"/>
  <c r="D35" i="2" s="1"/>
  <c r="E35" i="2" s="1"/>
  <c r="E28" i="2"/>
  <c r="D24" i="2"/>
  <c r="D25" i="2" s="1"/>
  <c r="D26" i="2" s="1"/>
  <c r="D27" i="2" s="1"/>
  <c r="D28" i="2" s="1"/>
  <c r="D17" i="2"/>
  <c r="D18" i="2" s="1"/>
  <c r="D19" i="2" s="1"/>
  <c r="D20" i="2" s="1"/>
  <c r="D21" i="2" s="1"/>
  <c r="E21" i="2" s="1"/>
  <c r="D11" i="2"/>
  <c r="D12" i="2" s="1"/>
  <c r="D13" i="2" s="1"/>
  <c r="D14" i="2" s="1"/>
  <c r="E14" i="2" s="1"/>
  <c r="D4" i="2"/>
  <c r="D5" i="2" s="1"/>
  <c r="D6" i="2" s="1"/>
  <c r="D7" i="2" s="1"/>
  <c r="D8" i="2" s="1"/>
  <c r="E46" i="1"/>
  <c r="D46" i="1"/>
  <c r="C46" i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16" i="3" l="1"/>
  <c r="B4" i="6" s="1"/>
  <c r="E8" i="2"/>
  <c r="F22" i="2" s="1"/>
  <c r="B3" i="6" s="1"/>
  <c r="F46" i="1"/>
  <c r="C6" i="6" l="1"/>
  <c r="E6" i="6" s="1"/>
</calcChain>
</file>

<file path=xl/sharedStrings.xml><?xml version="1.0" encoding="utf-8"?>
<sst xmlns="http://schemas.openxmlformats.org/spreadsheetml/2006/main" count="68" uniqueCount="57">
  <si>
    <t>Accounts Status</t>
  </si>
  <si>
    <t>Date</t>
  </si>
  <si>
    <t>Description</t>
  </si>
  <si>
    <t>Desposit (Sir)</t>
  </si>
  <si>
    <t>Received Amount</t>
  </si>
  <si>
    <t>Expenses Amount</t>
  </si>
  <si>
    <t>Balance</t>
  </si>
  <si>
    <t>Total Cost</t>
  </si>
  <si>
    <t>Wood contactor (X)</t>
  </si>
  <si>
    <t>Electricity contactor (Y)</t>
  </si>
  <si>
    <t>Sanitary contactor (Z)</t>
  </si>
  <si>
    <t>Tiles contactor (A)</t>
  </si>
  <si>
    <t>Paint contactor (B)</t>
  </si>
  <si>
    <t>All contactor total</t>
  </si>
  <si>
    <t xml:space="preserve">    Date</t>
  </si>
  <si>
    <t xml:space="preserve">   Name</t>
  </si>
  <si>
    <t xml:space="preserve"> Payment</t>
  </si>
  <si>
    <t>Cumulative amount</t>
  </si>
  <si>
    <t>Item total</t>
  </si>
  <si>
    <t>Wood</t>
  </si>
  <si>
    <t>Sanitary</t>
  </si>
  <si>
    <t>Tiles</t>
  </si>
  <si>
    <t>Paint</t>
  </si>
  <si>
    <t>Electricity</t>
  </si>
  <si>
    <t>All Item total</t>
  </si>
  <si>
    <t xml:space="preserve">  Name</t>
  </si>
  <si>
    <t xml:space="preserve"> Amount</t>
  </si>
  <si>
    <t>X vai convence</t>
  </si>
  <si>
    <t>y vai convence</t>
  </si>
  <si>
    <t>z vai convence</t>
  </si>
  <si>
    <t>a vai convence</t>
  </si>
  <si>
    <t>b vai convence</t>
  </si>
  <si>
    <t>x vai food bill</t>
  </si>
  <si>
    <t>z vai repair bill</t>
  </si>
  <si>
    <t>y vai repair bill</t>
  </si>
  <si>
    <t>Convence and others total</t>
  </si>
  <si>
    <t>Amount(BDT)</t>
  </si>
  <si>
    <t>contactors total</t>
  </si>
  <si>
    <t xml:space="preserve">  Cumulative payment</t>
  </si>
  <si>
    <t>Total material cost</t>
  </si>
  <si>
    <t>Total Contactor payment</t>
  </si>
  <si>
    <t>Total project cost</t>
  </si>
  <si>
    <t>Office overhead</t>
  </si>
  <si>
    <t xml:space="preserve">  Project Name</t>
  </si>
  <si>
    <t>Expo group</t>
  </si>
  <si>
    <t>Total amount</t>
  </si>
  <si>
    <t>Reference</t>
  </si>
  <si>
    <t xml:space="preserve">Received amount </t>
  </si>
  <si>
    <t>Amount</t>
  </si>
  <si>
    <t>Total</t>
  </si>
  <si>
    <t>Received amount</t>
  </si>
  <si>
    <t>Contactor payment</t>
  </si>
  <si>
    <t>Material cost</t>
  </si>
  <si>
    <t>Site expense and convence</t>
  </si>
  <si>
    <t>Approval</t>
  </si>
  <si>
    <t>Expo group expense summary</t>
  </si>
  <si>
    <t>Total site expense and convence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</si>
</sst>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2" borderId="0" xfId="0" applyFill="1"/>
    <xf numFmtId="14" fontId="4" fillId="0" borderId="0" xfId="0" applyNumberFormat="1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3" fontId="6" fillId="0" borderId="1" xfId="1" applyFont="1" applyBorder="1" applyAlignment="1">
      <alignment horizontal="left"/>
    </xf>
    <xf numFmtId="43" fontId="5" fillId="2" borderId="1" xfId="2" applyFont="1" applyFill="1" applyBorder="1" applyProtection="1">
      <protection locked="0"/>
    </xf>
    <xf numFmtId="43" fontId="7" fillId="2" borderId="1" xfId="2" applyFont="1" applyFill="1" applyBorder="1" applyAlignment="1" applyProtection="1">
      <alignment horizontal="centerContinuous"/>
    </xf>
    <xf numFmtId="43" fontId="8" fillId="0" borderId="1" xfId="2" applyFont="1" applyBorder="1" applyAlignment="1" applyProtection="1">
      <alignment horizontal="right"/>
    </xf>
    <xf numFmtId="43" fontId="9" fillId="2" borderId="1" xfId="2" applyFont="1" applyFill="1" applyBorder="1" applyProtection="1">
      <protection locked="0"/>
    </xf>
    <xf numFmtId="43" fontId="8" fillId="2" borderId="1" xfId="2" applyFont="1" applyFill="1" applyBorder="1" applyProtection="1">
      <protection locked="0"/>
    </xf>
    <xf numFmtId="43" fontId="8" fillId="0" borderId="1" xfId="2" applyFont="1" applyBorder="1" applyAlignment="1" applyProtection="1">
      <alignment horizontal="right"/>
      <protection locked="0"/>
    </xf>
    <xf numFmtId="0" fontId="6" fillId="0" borderId="1" xfId="0" applyFont="1" applyBorder="1" applyAlignment="1">
      <alignment horizontal="left"/>
    </xf>
    <xf numFmtId="43" fontId="6" fillId="0" borderId="2" xfId="1" applyFont="1" applyBorder="1" applyAlignment="1">
      <alignment horizontal="left"/>
    </xf>
    <xf numFmtId="43" fontId="5" fillId="0" borderId="1" xfId="1" applyFont="1" applyBorder="1" applyAlignment="1">
      <alignment horizontal="left"/>
    </xf>
    <xf numFmtId="43" fontId="6" fillId="2" borderId="1" xfId="1" applyFont="1" applyFill="1" applyBorder="1" applyAlignment="1">
      <alignment horizontal="left"/>
    </xf>
    <xf numFmtId="43" fontId="5" fillId="0" borderId="1" xfId="0" applyNumberFormat="1" applyFont="1" applyBorder="1" applyAlignment="1">
      <alignment horizontal="right"/>
    </xf>
    <xf numFmtId="43" fontId="5" fillId="2" borderId="1" xfId="1" applyFont="1" applyFill="1" applyBorder="1"/>
    <xf numFmtId="43" fontId="9" fillId="0" borderId="1" xfId="2" applyFont="1" applyBorder="1" applyAlignment="1" applyProtection="1">
      <alignment horizontal="right"/>
      <protection locked="0"/>
    </xf>
    <xf numFmtId="43" fontId="0" fillId="0" borderId="0" xfId="0" applyNumberFormat="1"/>
    <xf numFmtId="43" fontId="0" fillId="0" borderId="0" xfId="1" applyFont="1" applyBorder="1"/>
    <xf numFmtId="0" fontId="2" fillId="0" borderId="0" xfId="0" applyFont="1" applyAlignment="1">
      <alignment horizontal="right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/>
    <xf numFmtId="0" fontId="0" fillId="0" borderId="5" xfId="0" applyBorder="1"/>
    <xf numFmtId="0" fontId="0" fillId="0" borderId="4" xfId="0" applyBorder="1"/>
    <xf numFmtId="0" fontId="0" fillId="0" borderId="3" xfId="0" applyBorder="1"/>
    <xf numFmtId="14" fontId="0" fillId="0" borderId="1" xfId="0" applyNumberFormat="1" applyBorder="1"/>
    <xf numFmtId="14" fontId="0" fillId="0" borderId="3" xfId="0" applyNumberFormat="1" applyBorder="1"/>
    <xf numFmtId="14" fontId="0" fillId="0" borderId="5" xfId="0" applyNumberFormat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0" fillId="4" borderId="6" xfId="0" applyFill="1" applyBorder="1" applyAlignment="1">
      <alignment wrapText="1"/>
    </xf>
    <xf numFmtId="0" fontId="0" fillId="4" borderId="7" xfId="0" applyFill="1" applyBorder="1"/>
    <xf numFmtId="0" fontId="0" fillId="4" borderId="2" xfId="0" applyFill="1" applyBorder="1"/>
    <xf numFmtId="0" fontId="0" fillId="4" borderId="6" xfId="0" applyFill="1" applyBorder="1"/>
    <xf numFmtId="0" fontId="2" fillId="4" borderId="1" xfId="0" applyFont="1" applyFill="1" applyBorder="1"/>
    <xf numFmtId="0" fontId="0" fillId="0" borderId="6" xfId="0" applyBorder="1"/>
    <xf numFmtId="0" fontId="2" fillId="4" borderId="5" xfId="0" applyFont="1" applyFill="1" applyBorder="1"/>
    <xf numFmtId="0" fontId="2" fillId="4" borderId="8" xfId="0" applyFont="1" applyFill="1" applyBorder="1"/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1" xfId="0" applyFont="1" applyBorder="1" applyAlignment="1">
      <alignment horizontal="right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E033-655F-4BCC-8849-E101EECAC1F4}">
  <dimension ref="A1:E6"/>
  <sheetViews>
    <sheetView workbookViewId="0">
      <selection activeCell="D6" sqref="D6"/>
    </sheetView>
  </sheetViews>
  <sheetFormatPr defaultRowHeight="15" x14ac:dyDescent="0.25"/>
  <cols>
    <col min="1" max="1" width="29.7109375" customWidth="1"/>
    <col min="2" max="2" width="13.28515625" customWidth="1"/>
    <col min="3" max="3" width="15.85546875" customWidth="1"/>
    <col min="4" max="4" width="16.140625" customWidth="1"/>
  </cols>
  <sheetData>
    <row r="1" spans="1:5" ht="21" x14ac:dyDescent="0.25">
      <c r="A1" s="48" t="s">
        <v>55</v>
      </c>
      <c r="B1" s="49"/>
      <c r="C1" s="49"/>
      <c r="D1" s="49"/>
      <c r="E1" s="50"/>
    </row>
    <row r="2" spans="1:5" x14ac:dyDescent="0.25">
      <c r="A2" s="46" t="s">
        <v>2</v>
      </c>
      <c r="B2" s="46" t="s">
        <v>36</v>
      </c>
      <c r="C2" s="47" t="s">
        <v>41</v>
      </c>
      <c r="D2" s="44" t="s">
        <v>47</v>
      </c>
      <c r="E2" s="44" t="s">
        <v>6</v>
      </c>
    </row>
    <row r="3" spans="1:5" x14ac:dyDescent="0.25">
      <c r="A3" s="30" t="s">
        <v>40</v>
      </c>
      <c r="B3" s="30">
        <f>'Contactors payment'!F22</f>
        <v>11483</v>
      </c>
      <c r="C3" s="45"/>
      <c r="D3" s="30"/>
      <c r="E3" s="30"/>
    </row>
    <row r="4" spans="1:5" x14ac:dyDescent="0.25">
      <c r="A4" s="30" t="s">
        <v>39</v>
      </c>
      <c r="B4" s="30">
        <f>'material cost'!F16</f>
        <v>459724</v>
      </c>
      <c r="C4" s="45"/>
      <c r="D4" s="30"/>
      <c r="E4" s="30"/>
    </row>
    <row r="5" spans="1:5" x14ac:dyDescent="0.25">
      <c r="A5" s="30" t="s">
        <v>56</v>
      </c>
      <c r="B5" s="30">
        <f>'Site expense and convence'!D10</f>
        <v>13543</v>
      </c>
      <c r="C5" s="45"/>
      <c r="D5" s="30"/>
      <c r="E5" s="30"/>
    </row>
    <row r="6" spans="1:5" x14ac:dyDescent="0.25">
      <c r="A6" s="30" t="s">
        <v>42</v>
      </c>
      <c r="B6" s="30">
        <f>'office overhead'!E4</f>
        <v>68632</v>
      </c>
      <c r="C6" s="45">
        <f>SUM(B3:B6)</f>
        <v>553382</v>
      </c>
      <c r="D6" s="30">
        <f>'Received amount'!C7</f>
        <v>1933678</v>
      </c>
      <c r="E6" s="30">
        <f>(D6-C6)</f>
        <v>1380296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1B5A-0FF6-4607-A94C-69710EC20706}">
  <dimension ref="A1:F35"/>
  <sheetViews>
    <sheetView tabSelected="1" workbookViewId="0">
      <selection activeCell="C11" sqref="C11"/>
    </sheetView>
  </sheetViews>
  <sheetFormatPr defaultRowHeight="15" x14ac:dyDescent="0.25"/>
  <cols>
    <col min="1" max="1" width="21.85546875" customWidth="1"/>
    <col min="4" max="4" width="20.42578125" customWidth="1"/>
    <col min="5" max="5" width="9.85546875" customWidth="1"/>
  </cols>
  <sheetData>
    <row r="1" spans="1:6" ht="18.75" x14ac:dyDescent="0.3">
      <c r="A1" s="51" t="s">
        <v>51</v>
      </c>
      <c r="B1" s="52"/>
      <c r="C1" s="52"/>
      <c r="D1" s="52"/>
      <c r="E1" s="52"/>
      <c r="F1" s="53"/>
    </row>
    <row r="2" spans="1:6" ht="45" x14ac:dyDescent="0.25">
      <c r="A2" s="37" t="s">
        <v>15</v>
      </c>
      <c r="B2" s="37" t="s">
        <v>14</v>
      </c>
      <c r="C2" s="37" t="s">
        <v>16</v>
      </c>
      <c r="D2" s="37" t="s">
        <v>38</v>
      </c>
      <c r="E2" s="38" t="s">
        <v>37</v>
      </c>
      <c r="F2" s="39" t="s">
        <v>13</v>
      </c>
    </row>
    <row r="3" spans="1:6" x14ac:dyDescent="0.25">
      <c r="A3" s="28"/>
      <c r="B3" s="34">
        <v>46027</v>
      </c>
      <c r="C3" s="30">
        <v>548</v>
      </c>
      <c r="D3" s="30">
        <f>'Contactors payment'!C3</f>
        <v>548</v>
      </c>
      <c r="E3" s="30"/>
      <c r="F3" s="33"/>
    </row>
    <row r="4" spans="1:6" x14ac:dyDescent="0.25">
      <c r="A4" s="29"/>
      <c r="B4" s="34">
        <v>46058</v>
      </c>
      <c r="C4" s="30">
        <v>400</v>
      </c>
      <c r="D4" s="30">
        <f>D3+C4</f>
        <v>948</v>
      </c>
      <c r="E4" s="30"/>
      <c r="F4" s="32"/>
    </row>
    <row r="5" spans="1:6" x14ac:dyDescent="0.25">
      <c r="A5" s="29"/>
      <c r="B5" s="34">
        <v>46086</v>
      </c>
      <c r="C5" s="30">
        <v>400</v>
      </c>
      <c r="D5" s="30">
        <f t="shared" ref="D5:D35" si="0">D4+C5</f>
        <v>1348</v>
      </c>
      <c r="E5" s="30"/>
      <c r="F5" s="32"/>
    </row>
    <row r="6" spans="1:6" x14ac:dyDescent="0.25">
      <c r="A6" s="29"/>
      <c r="B6" s="34">
        <v>46117</v>
      </c>
      <c r="C6" s="30">
        <v>750</v>
      </c>
      <c r="D6" s="30">
        <f t="shared" si="0"/>
        <v>2098</v>
      </c>
      <c r="E6" s="30"/>
      <c r="F6" s="32"/>
    </row>
    <row r="7" spans="1:6" x14ac:dyDescent="0.25">
      <c r="A7" s="32" t="s">
        <v>8</v>
      </c>
      <c r="B7" s="34">
        <v>46178</v>
      </c>
      <c r="C7" s="30">
        <v>700</v>
      </c>
      <c r="D7" s="30">
        <f t="shared" si="0"/>
        <v>2798</v>
      </c>
      <c r="E7" s="30"/>
      <c r="F7" s="32"/>
    </row>
    <row r="8" spans="1:6" x14ac:dyDescent="0.25">
      <c r="A8" s="29"/>
      <c r="B8" s="35">
        <v>46208</v>
      </c>
      <c r="C8" s="33">
        <v>1000</v>
      </c>
      <c r="D8" s="33">
        <f t="shared" si="0"/>
        <v>3798</v>
      </c>
      <c r="E8" s="33">
        <f>D8</f>
        <v>3798</v>
      </c>
      <c r="F8" s="32"/>
    </row>
    <row r="9" spans="1:6" x14ac:dyDescent="0.25">
      <c r="A9" s="40"/>
      <c r="B9" s="41"/>
      <c r="C9" s="41"/>
      <c r="D9" s="41"/>
      <c r="E9" s="42"/>
      <c r="F9" s="32"/>
    </row>
    <row r="10" spans="1:6" x14ac:dyDescent="0.25">
      <c r="A10" s="29"/>
      <c r="B10" s="36">
        <v>46058</v>
      </c>
      <c r="C10" s="31">
        <v>647</v>
      </c>
      <c r="D10" s="31">
        <f>'Contactors payment'!C10</f>
        <v>647</v>
      </c>
      <c r="E10" s="31"/>
      <c r="F10" s="32"/>
    </row>
    <row r="11" spans="1:6" x14ac:dyDescent="0.25">
      <c r="A11" s="29"/>
      <c r="B11" s="34">
        <v>46086</v>
      </c>
      <c r="C11" s="30">
        <v>300</v>
      </c>
      <c r="D11" s="30">
        <f t="shared" si="0"/>
        <v>947</v>
      </c>
      <c r="E11" s="30"/>
      <c r="F11" s="32"/>
    </row>
    <row r="12" spans="1:6" x14ac:dyDescent="0.25">
      <c r="A12" s="29"/>
      <c r="B12" s="34">
        <v>46117</v>
      </c>
      <c r="C12" s="30">
        <v>100</v>
      </c>
      <c r="D12" s="30">
        <f t="shared" si="0"/>
        <v>1047</v>
      </c>
      <c r="E12" s="30"/>
      <c r="F12" s="32"/>
    </row>
    <row r="13" spans="1:6" x14ac:dyDescent="0.25">
      <c r="A13" s="32" t="s">
        <v>9</v>
      </c>
      <c r="B13" s="34">
        <v>46147</v>
      </c>
      <c r="C13" s="30">
        <v>200</v>
      </c>
      <c r="D13" s="30">
        <f t="shared" si="0"/>
        <v>1247</v>
      </c>
      <c r="E13" s="30"/>
      <c r="F13" s="32"/>
    </row>
    <row r="14" spans="1:6" x14ac:dyDescent="0.25">
      <c r="A14" s="32"/>
      <c r="B14" s="34">
        <v>46178</v>
      </c>
      <c r="C14" s="30">
        <v>600</v>
      </c>
      <c r="D14" s="30">
        <f t="shared" si="0"/>
        <v>1847</v>
      </c>
      <c r="E14" s="30">
        <f t="shared" ref="E14" si="1">D14</f>
        <v>1847</v>
      </c>
      <c r="F14" s="32"/>
    </row>
    <row r="15" spans="1:6" x14ac:dyDescent="0.25">
      <c r="A15" s="43"/>
      <c r="B15" s="41"/>
      <c r="C15" s="41"/>
      <c r="D15" s="41"/>
      <c r="E15" s="42"/>
      <c r="F15" s="32"/>
    </row>
    <row r="16" spans="1:6" x14ac:dyDescent="0.25">
      <c r="A16" s="33"/>
      <c r="B16" s="34">
        <v>46058</v>
      </c>
      <c r="C16" s="30">
        <v>350</v>
      </c>
      <c r="D16" s="30">
        <f>'Contactors payment'!C16</f>
        <v>350</v>
      </c>
      <c r="E16" s="30"/>
      <c r="F16" s="32"/>
    </row>
    <row r="17" spans="1:6" x14ac:dyDescent="0.25">
      <c r="A17" s="32"/>
      <c r="B17" s="34">
        <v>46117</v>
      </c>
      <c r="C17" s="30">
        <v>300</v>
      </c>
      <c r="D17" s="30">
        <f t="shared" si="0"/>
        <v>650</v>
      </c>
      <c r="E17" s="30"/>
      <c r="F17" s="32"/>
    </row>
    <row r="18" spans="1:6" x14ac:dyDescent="0.25">
      <c r="A18" s="32"/>
      <c r="B18" s="34">
        <v>46147</v>
      </c>
      <c r="C18" s="30">
        <v>400</v>
      </c>
      <c r="D18" s="30">
        <f t="shared" si="0"/>
        <v>1050</v>
      </c>
      <c r="E18" s="30"/>
      <c r="F18" s="32"/>
    </row>
    <row r="19" spans="1:6" x14ac:dyDescent="0.25">
      <c r="A19" s="32" t="s">
        <v>10</v>
      </c>
      <c r="B19" s="34">
        <v>46178</v>
      </c>
      <c r="C19" s="30">
        <v>300</v>
      </c>
      <c r="D19" s="30">
        <f t="shared" si="0"/>
        <v>1350</v>
      </c>
      <c r="E19" s="30"/>
      <c r="F19" s="32"/>
    </row>
    <row r="20" spans="1:6" x14ac:dyDescent="0.25">
      <c r="A20" s="32"/>
      <c r="B20" s="34">
        <v>46208</v>
      </c>
      <c r="C20" s="30">
        <v>600</v>
      </c>
      <c r="D20" s="30">
        <f t="shared" si="0"/>
        <v>1950</v>
      </c>
      <c r="E20" s="30"/>
      <c r="F20" s="32"/>
    </row>
    <row r="21" spans="1:6" x14ac:dyDescent="0.25">
      <c r="A21" s="32"/>
      <c r="B21" s="34">
        <v>46239</v>
      </c>
      <c r="C21" s="30">
        <v>200</v>
      </c>
      <c r="D21" s="30">
        <f t="shared" si="0"/>
        <v>2150</v>
      </c>
      <c r="E21" s="30">
        <f t="shared" ref="E21:E35" si="2">D21</f>
        <v>2150</v>
      </c>
      <c r="F21" s="32"/>
    </row>
    <row r="22" spans="1:6" x14ac:dyDescent="0.25">
      <c r="A22" s="43"/>
      <c r="B22" s="41"/>
      <c r="C22" s="41"/>
      <c r="D22" s="41"/>
      <c r="E22" s="42"/>
      <c r="F22" s="32">
        <f>(E8+E14+E21+E28+E35)</f>
        <v>11483</v>
      </c>
    </row>
    <row r="23" spans="1:6" x14ac:dyDescent="0.25">
      <c r="A23" s="33"/>
      <c r="B23" s="34">
        <v>46027</v>
      </c>
      <c r="C23" s="30">
        <v>240</v>
      </c>
      <c r="D23" s="30">
        <f>'Contactors payment'!C23</f>
        <v>240</v>
      </c>
      <c r="E23" s="30"/>
      <c r="F23" s="32"/>
    </row>
    <row r="24" spans="1:6" x14ac:dyDescent="0.25">
      <c r="A24" s="32"/>
      <c r="B24" s="34">
        <v>46058</v>
      </c>
      <c r="C24" s="30">
        <v>300</v>
      </c>
      <c r="D24" s="30">
        <f t="shared" si="0"/>
        <v>540</v>
      </c>
      <c r="E24" s="30"/>
      <c r="F24" s="32"/>
    </row>
    <row r="25" spans="1:6" x14ac:dyDescent="0.25">
      <c r="A25" s="32"/>
      <c r="B25" s="34">
        <v>46086</v>
      </c>
      <c r="C25" s="30">
        <v>400</v>
      </c>
      <c r="D25" s="30">
        <f t="shared" si="0"/>
        <v>940</v>
      </c>
      <c r="E25" s="30"/>
      <c r="F25" s="32"/>
    </row>
    <row r="26" spans="1:6" x14ac:dyDescent="0.25">
      <c r="A26" s="32" t="s">
        <v>11</v>
      </c>
      <c r="B26" s="34">
        <v>46147</v>
      </c>
      <c r="C26" s="30">
        <v>700</v>
      </c>
      <c r="D26" s="30">
        <f t="shared" si="0"/>
        <v>1640</v>
      </c>
      <c r="E26" s="30"/>
      <c r="F26" s="32"/>
    </row>
    <row r="27" spans="1:6" x14ac:dyDescent="0.25">
      <c r="A27" s="32"/>
      <c r="B27" s="34">
        <v>46178</v>
      </c>
      <c r="C27" s="30">
        <v>300</v>
      </c>
      <c r="D27" s="30">
        <f t="shared" si="0"/>
        <v>1940</v>
      </c>
      <c r="E27" s="30"/>
      <c r="F27" s="32"/>
    </row>
    <row r="28" spans="1:6" x14ac:dyDescent="0.25">
      <c r="A28" s="32"/>
      <c r="B28" s="34">
        <v>46208</v>
      </c>
      <c r="C28" s="30">
        <v>200</v>
      </c>
      <c r="D28" s="30">
        <f t="shared" si="0"/>
        <v>2140</v>
      </c>
      <c r="E28" s="30">
        <f t="shared" si="2"/>
        <v>2140</v>
      </c>
      <c r="F28" s="32"/>
    </row>
    <row r="29" spans="1:6" x14ac:dyDescent="0.25">
      <c r="A29" s="43"/>
      <c r="B29" s="41"/>
      <c r="C29" s="41"/>
      <c r="D29" s="41"/>
      <c r="E29" s="42"/>
      <c r="F29" s="32"/>
    </row>
    <row r="30" spans="1:6" x14ac:dyDescent="0.25">
      <c r="A30" s="33"/>
      <c r="B30" s="34">
        <v>46027</v>
      </c>
      <c r="C30" s="30">
        <v>348</v>
      </c>
      <c r="D30" s="30">
        <f>'Contactors payment'!C30</f>
        <v>348</v>
      </c>
      <c r="E30" s="30"/>
      <c r="F30" s="32"/>
    </row>
    <row r="31" spans="1:6" x14ac:dyDescent="0.25">
      <c r="A31" s="32"/>
      <c r="B31" s="34">
        <v>46058</v>
      </c>
      <c r="C31" s="30">
        <v>300</v>
      </c>
      <c r="D31" s="30">
        <f t="shared" si="0"/>
        <v>648</v>
      </c>
      <c r="E31" s="30"/>
      <c r="F31" s="32"/>
    </row>
    <row r="32" spans="1:6" x14ac:dyDescent="0.25">
      <c r="A32" s="32"/>
      <c r="B32" s="34">
        <v>46086</v>
      </c>
      <c r="C32" s="30">
        <v>400</v>
      </c>
      <c r="D32" s="30">
        <f t="shared" si="0"/>
        <v>1048</v>
      </c>
      <c r="E32" s="30"/>
      <c r="F32" s="32"/>
    </row>
    <row r="33" spans="1:6" x14ac:dyDescent="0.25">
      <c r="A33" s="32" t="s">
        <v>12</v>
      </c>
      <c r="B33" s="34">
        <v>46178</v>
      </c>
      <c r="C33" s="30">
        <v>100</v>
      </c>
      <c r="D33" s="30">
        <f t="shared" si="0"/>
        <v>1148</v>
      </c>
      <c r="E33" s="30"/>
      <c r="F33" s="32"/>
    </row>
    <row r="34" spans="1:6" x14ac:dyDescent="0.25">
      <c r="A34" s="32"/>
      <c r="B34" s="34">
        <v>46208</v>
      </c>
      <c r="C34" s="30">
        <v>200</v>
      </c>
      <c r="D34" s="30">
        <f t="shared" si="0"/>
        <v>1348</v>
      </c>
      <c r="E34" s="30"/>
      <c r="F34" s="32"/>
    </row>
    <row r="35" spans="1:6" x14ac:dyDescent="0.25">
      <c r="A35" s="31"/>
      <c r="B35" s="34">
        <v>46239</v>
      </c>
      <c r="C35" s="30">
        <v>200</v>
      </c>
      <c r="D35" s="30">
        <f t="shared" si="0"/>
        <v>1548</v>
      </c>
      <c r="E35" s="30">
        <f t="shared" si="2"/>
        <v>1548</v>
      </c>
      <c r="F35" s="31"/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272E-2539-4D35-B7C7-7AB31B83CAA9}">
  <dimension ref="A1:F31"/>
  <sheetViews>
    <sheetView workbookViewId="0">
      <selection activeCell="D27" sqref="D27"/>
    </sheetView>
  </sheetViews>
  <sheetFormatPr defaultRowHeight="15" x14ac:dyDescent="0.25"/>
  <cols>
    <col min="4" max="4" width="11" customWidth="1"/>
  </cols>
  <sheetData>
    <row r="1" spans="1:6" ht="18.75" x14ac:dyDescent="0.3">
      <c r="A1" s="51" t="s">
        <v>52</v>
      </c>
      <c r="B1" s="54"/>
      <c r="C1" s="54"/>
      <c r="D1" s="54"/>
      <c r="E1" s="54"/>
      <c r="F1" s="55"/>
    </row>
    <row r="2" spans="1:6" ht="30" x14ac:dyDescent="0.25">
      <c r="A2" s="37" t="s">
        <v>25</v>
      </c>
      <c r="B2" s="37" t="s">
        <v>14</v>
      </c>
      <c r="C2" s="37" t="s">
        <v>26</v>
      </c>
      <c r="D2" s="38" t="s">
        <v>17</v>
      </c>
      <c r="E2" s="37" t="s">
        <v>18</v>
      </c>
      <c r="F2" s="38" t="s">
        <v>24</v>
      </c>
    </row>
    <row r="3" spans="1:6" x14ac:dyDescent="0.25">
      <c r="A3" s="33"/>
      <c r="B3" s="34">
        <v>46027</v>
      </c>
      <c r="C3" s="30">
        <v>23456</v>
      </c>
      <c r="D3" s="30">
        <f>'material cost'!C3</f>
        <v>23456</v>
      </c>
      <c r="E3" s="30"/>
      <c r="F3" s="33"/>
    </row>
    <row r="4" spans="1:6" x14ac:dyDescent="0.25">
      <c r="A4" s="32"/>
      <c r="B4" s="34">
        <v>46058</v>
      </c>
      <c r="C4" s="30">
        <v>13000</v>
      </c>
      <c r="D4" s="30">
        <f>(D3+C4)</f>
        <v>36456</v>
      </c>
      <c r="E4" s="30"/>
      <c r="F4" s="32"/>
    </row>
    <row r="5" spans="1:6" x14ac:dyDescent="0.25">
      <c r="A5" s="32" t="s">
        <v>19</v>
      </c>
      <c r="B5" s="34">
        <v>46086</v>
      </c>
      <c r="C5" s="30">
        <v>10000</v>
      </c>
      <c r="D5" s="30">
        <f t="shared" ref="D5:D31" si="0">(D4+C5)</f>
        <v>46456</v>
      </c>
      <c r="E5" s="30"/>
      <c r="F5" s="32"/>
    </row>
    <row r="6" spans="1:6" x14ac:dyDescent="0.25">
      <c r="A6" s="32"/>
      <c r="B6" s="34">
        <v>46117</v>
      </c>
      <c r="C6" s="30">
        <v>12345</v>
      </c>
      <c r="D6" s="30">
        <f t="shared" si="0"/>
        <v>58801</v>
      </c>
      <c r="E6" s="30"/>
      <c r="F6" s="32"/>
    </row>
    <row r="7" spans="1:6" x14ac:dyDescent="0.25">
      <c r="A7" s="32"/>
      <c r="B7" s="34">
        <v>46147</v>
      </c>
      <c r="C7" s="30">
        <v>10000</v>
      </c>
      <c r="D7" s="30">
        <f t="shared" si="0"/>
        <v>68801</v>
      </c>
      <c r="E7" s="30">
        <f>D7</f>
        <v>68801</v>
      </c>
      <c r="F7" s="32"/>
    </row>
    <row r="8" spans="1:6" x14ac:dyDescent="0.25">
      <c r="A8" s="43"/>
      <c r="B8" s="41"/>
      <c r="C8" s="41"/>
      <c r="D8" s="41"/>
      <c r="E8" s="42"/>
      <c r="F8" s="32"/>
    </row>
    <row r="9" spans="1:6" x14ac:dyDescent="0.25">
      <c r="A9" s="33"/>
      <c r="B9" s="34">
        <v>46027</v>
      </c>
      <c r="C9" s="30">
        <v>12345</v>
      </c>
      <c r="D9" s="30">
        <f>'material cost'!C9</f>
        <v>12345</v>
      </c>
      <c r="E9" s="30"/>
      <c r="F9" s="32"/>
    </row>
    <row r="10" spans="1:6" x14ac:dyDescent="0.25">
      <c r="A10" s="32"/>
      <c r="B10" s="34">
        <v>46058</v>
      </c>
      <c r="C10" s="30">
        <v>20000</v>
      </c>
      <c r="D10" s="30">
        <f t="shared" si="0"/>
        <v>32345</v>
      </c>
      <c r="E10" s="30"/>
      <c r="F10" s="32"/>
    </row>
    <row r="11" spans="1:6" x14ac:dyDescent="0.25">
      <c r="A11" s="32" t="s">
        <v>20</v>
      </c>
      <c r="B11" s="34">
        <v>46086</v>
      </c>
      <c r="C11" s="30">
        <v>20000</v>
      </c>
      <c r="D11" s="30">
        <f t="shared" si="0"/>
        <v>52345</v>
      </c>
      <c r="E11" s="30"/>
      <c r="F11" s="32"/>
    </row>
    <row r="12" spans="1:6" x14ac:dyDescent="0.25">
      <c r="A12" s="32"/>
      <c r="B12" s="34">
        <v>46117</v>
      </c>
      <c r="C12" s="30">
        <v>2000</v>
      </c>
      <c r="D12" s="30">
        <f t="shared" si="0"/>
        <v>54345</v>
      </c>
      <c r="E12" s="30"/>
      <c r="F12" s="32"/>
    </row>
    <row r="13" spans="1:6" x14ac:dyDescent="0.25">
      <c r="A13" s="32"/>
      <c r="B13" s="34">
        <v>46147</v>
      </c>
      <c r="C13" s="30">
        <v>3000</v>
      </c>
      <c r="D13" s="30">
        <f t="shared" si="0"/>
        <v>57345</v>
      </c>
      <c r="E13" s="30">
        <f t="shared" ref="E13:E31" si="1">D13</f>
        <v>57345</v>
      </c>
      <c r="F13" s="32"/>
    </row>
    <row r="14" spans="1:6" x14ac:dyDescent="0.25">
      <c r="A14" s="43"/>
      <c r="B14" s="41"/>
      <c r="C14" s="41"/>
      <c r="D14" s="41"/>
      <c r="E14" s="42"/>
      <c r="F14" s="32"/>
    </row>
    <row r="15" spans="1:6" x14ac:dyDescent="0.25">
      <c r="A15" s="33"/>
      <c r="B15" s="34">
        <v>46027</v>
      </c>
      <c r="C15" s="30">
        <v>12345</v>
      </c>
      <c r="D15" s="30">
        <f>'material cost'!C15</f>
        <v>12345</v>
      </c>
      <c r="E15" s="30"/>
      <c r="F15" s="32"/>
    </row>
    <row r="16" spans="1:6" x14ac:dyDescent="0.25">
      <c r="A16" s="32"/>
      <c r="B16" s="34">
        <v>46058</v>
      </c>
      <c r="C16" s="30">
        <v>23000</v>
      </c>
      <c r="D16" s="30">
        <f t="shared" si="0"/>
        <v>35345</v>
      </c>
      <c r="E16" s="30"/>
      <c r="F16" s="32">
        <f>(E7+E13+E19+E25+E31)</f>
        <v>459724</v>
      </c>
    </row>
    <row r="17" spans="1:6" x14ac:dyDescent="0.25">
      <c r="A17" s="32" t="s">
        <v>21</v>
      </c>
      <c r="B17" s="34">
        <v>46086</v>
      </c>
      <c r="C17" s="30">
        <v>13000</v>
      </c>
      <c r="D17" s="30">
        <f t="shared" si="0"/>
        <v>48345</v>
      </c>
      <c r="E17" s="30"/>
      <c r="F17" s="32"/>
    </row>
    <row r="18" spans="1:6" x14ac:dyDescent="0.25">
      <c r="A18" s="32"/>
      <c r="B18" s="34">
        <v>46117</v>
      </c>
      <c r="C18" s="30">
        <v>2000</v>
      </c>
      <c r="D18" s="30">
        <f t="shared" si="0"/>
        <v>50345</v>
      </c>
      <c r="E18" s="30"/>
      <c r="F18" s="32"/>
    </row>
    <row r="19" spans="1:6" x14ac:dyDescent="0.25">
      <c r="A19" s="32"/>
      <c r="B19" s="34">
        <v>46147</v>
      </c>
      <c r="C19" s="30">
        <v>3000</v>
      </c>
      <c r="D19" s="30">
        <f t="shared" si="0"/>
        <v>53345</v>
      </c>
      <c r="E19" s="30">
        <f t="shared" si="1"/>
        <v>53345</v>
      </c>
      <c r="F19" s="32"/>
    </row>
    <row r="20" spans="1:6" x14ac:dyDescent="0.25">
      <c r="A20" s="43"/>
      <c r="B20" s="41"/>
      <c r="C20" s="41"/>
      <c r="D20" s="41"/>
      <c r="E20" s="42"/>
      <c r="F20" s="32"/>
    </row>
    <row r="21" spans="1:6" x14ac:dyDescent="0.25">
      <c r="A21" s="33"/>
      <c r="B21" s="34">
        <v>46027</v>
      </c>
      <c r="C21" s="30">
        <v>26543</v>
      </c>
      <c r="D21" s="30">
        <f>'material cost'!C21</f>
        <v>26543</v>
      </c>
      <c r="E21" s="30"/>
      <c r="F21" s="32"/>
    </row>
    <row r="22" spans="1:6" x14ac:dyDescent="0.25">
      <c r="A22" s="32"/>
      <c r="B22" s="34">
        <v>46058</v>
      </c>
      <c r="C22" s="30">
        <v>21000</v>
      </c>
      <c r="D22" s="30">
        <f t="shared" si="0"/>
        <v>47543</v>
      </c>
      <c r="E22" s="30"/>
      <c r="F22" s="32"/>
    </row>
    <row r="23" spans="1:6" x14ac:dyDescent="0.25">
      <c r="A23" s="32" t="s">
        <v>22</v>
      </c>
      <c r="B23" s="34">
        <v>46086</v>
      </c>
      <c r="C23" s="30">
        <v>23000</v>
      </c>
      <c r="D23" s="30">
        <f t="shared" si="0"/>
        <v>70543</v>
      </c>
      <c r="E23" s="30"/>
      <c r="F23" s="32"/>
    </row>
    <row r="24" spans="1:6" x14ac:dyDescent="0.25">
      <c r="A24" s="32"/>
      <c r="B24" s="34">
        <v>46117</v>
      </c>
      <c r="C24" s="30">
        <v>3000</v>
      </c>
      <c r="D24" s="30">
        <f t="shared" si="0"/>
        <v>73543</v>
      </c>
      <c r="E24" s="30"/>
      <c r="F24" s="32"/>
    </row>
    <row r="25" spans="1:6" x14ac:dyDescent="0.25">
      <c r="A25" s="32"/>
      <c r="B25" s="34">
        <v>46147</v>
      </c>
      <c r="C25" s="30">
        <v>20000</v>
      </c>
      <c r="D25" s="30">
        <f t="shared" si="0"/>
        <v>93543</v>
      </c>
      <c r="E25" s="30">
        <f t="shared" si="1"/>
        <v>93543</v>
      </c>
      <c r="F25" s="32"/>
    </row>
    <row r="26" spans="1:6" x14ac:dyDescent="0.25">
      <c r="A26" s="43"/>
      <c r="B26" s="41"/>
      <c r="C26" s="41"/>
      <c r="D26" s="41"/>
      <c r="E26" s="42"/>
      <c r="F26" s="32"/>
    </row>
    <row r="27" spans="1:6" x14ac:dyDescent="0.25">
      <c r="A27" s="33"/>
      <c r="B27" s="34">
        <v>46027</v>
      </c>
      <c r="C27" s="30">
        <v>87690</v>
      </c>
      <c r="D27" s="30">
        <f>'material cost'!C27</f>
        <v>87690</v>
      </c>
      <c r="E27" s="30"/>
      <c r="F27" s="32"/>
    </row>
    <row r="28" spans="1:6" x14ac:dyDescent="0.25">
      <c r="A28" s="32"/>
      <c r="B28" s="34">
        <v>46058</v>
      </c>
      <c r="C28" s="30">
        <v>20000</v>
      </c>
      <c r="D28" s="30">
        <f t="shared" si="0"/>
        <v>107690</v>
      </c>
      <c r="E28" s="30"/>
      <c r="F28" s="32"/>
    </row>
    <row r="29" spans="1:6" x14ac:dyDescent="0.25">
      <c r="A29" s="32" t="s">
        <v>23</v>
      </c>
      <c r="B29" s="34">
        <v>46086</v>
      </c>
      <c r="C29" s="30">
        <v>36000</v>
      </c>
      <c r="D29" s="30">
        <f t="shared" si="0"/>
        <v>143690</v>
      </c>
      <c r="E29" s="30"/>
      <c r="F29" s="32"/>
    </row>
    <row r="30" spans="1:6" x14ac:dyDescent="0.25">
      <c r="A30" s="32"/>
      <c r="B30" s="34">
        <v>46117</v>
      </c>
      <c r="C30" s="30">
        <v>22000</v>
      </c>
      <c r="D30" s="30">
        <f t="shared" si="0"/>
        <v>165690</v>
      </c>
      <c r="E30" s="30"/>
      <c r="F30" s="32"/>
    </row>
    <row r="31" spans="1:6" x14ac:dyDescent="0.25">
      <c r="A31" s="31"/>
      <c r="B31" s="34">
        <v>46147</v>
      </c>
      <c r="C31" s="30">
        <v>21000</v>
      </c>
      <c r="D31" s="30">
        <f t="shared" si="0"/>
        <v>186690</v>
      </c>
      <c r="E31" s="30">
        <f t="shared" si="1"/>
        <v>186690</v>
      </c>
      <c r="F31" s="31"/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9F32-80DD-4DD5-8C7E-4767736E8B56}">
  <dimension ref="A1:D10"/>
  <sheetViews>
    <sheetView workbookViewId="0">
      <selection activeCell="C3" sqref="C3"/>
    </sheetView>
  </sheetViews>
  <sheetFormatPr defaultRowHeight="15" x14ac:dyDescent="0.25"/>
  <cols>
    <col min="1" max="1" width="15.140625" customWidth="1"/>
    <col min="3" max="3" width="11" customWidth="1"/>
    <col min="4" max="4" width="10.5703125" customWidth="1"/>
  </cols>
  <sheetData>
    <row r="1" spans="1:4" ht="18.75" x14ac:dyDescent="0.3">
      <c r="A1" s="51" t="s">
        <v>53</v>
      </c>
      <c r="B1" s="52"/>
      <c r="C1" s="52"/>
      <c r="D1" s="53"/>
    </row>
    <row r="2" spans="1:4" ht="45" x14ac:dyDescent="0.25">
      <c r="A2" s="39" t="s">
        <v>2</v>
      </c>
      <c r="B2" s="37" t="s">
        <v>26</v>
      </c>
      <c r="C2" s="39" t="s">
        <v>17</v>
      </c>
      <c r="D2" s="38" t="s">
        <v>35</v>
      </c>
    </row>
    <row r="3" spans="1:4" x14ac:dyDescent="0.25">
      <c r="A3" s="30" t="s">
        <v>27</v>
      </c>
      <c r="B3" s="30">
        <v>2298</v>
      </c>
      <c r="C3" s="30">
        <f>'Site expense and convence'!B3</f>
        <v>2298</v>
      </c>
      <c r="D3" s="30"/>
    </row>
    <row r="4" spans="1:4" x14ac:dyDescent="0.25">
      <c r="A4" s="30" t="s">
        <v>28</v>
      </c>
      <c r="B4" s="30">
        <v>3000</v>
      </c>
      <c r="C4" s="30">
        <f>(C3+B4)</f>
        <v>5298</v>
      </c>
      <c r="D4" s="30"/>
    </row>
    <row r="5" spans="1:4" x14ac:dyDescent="0.25">
      <c r="A5" s="30" t="s">
        <v>29</v>
      </c>
      <c r="B5" s="30">
        <v>3000</v>
      </c>
      <c r="C5" s="30">
        <f t="shared" ref="C5:C10" si="0">(C4+B5)</f>
        <v>8298</v>
      </c>
      <c r="D5" s="30"/>
    </row>
    <row r="6" spans="1:4" x14ac:dyDescent="0.25">
      <c r="A6" s="30" t="s">
        <v>30</v>
      </c>
      <c r="B6" s="30">
        <v>2145</v>
      </c>
      <c r="C6" s="30">
        <f t="shared" si="0"/>
        <v>10443</v>
      </c>
      <c r="D6" s="30"/>
    </row>
    <row r="7" spans="1:4" x14ac:dyDescent="0.25">
      <c r="A7" s="30" t="s">
        <v>31</v>
      </c>
      <c r="B7" s="30">
        <v>2200</v>
      </c>
      <c r="C7" s="30">
        <f t="shared" si="0"/>
        <v>12643</v>
      </c>
      <c r="D7" s="30"/>
    </row>
    <row r="8" spans="1:4" x14ac:dyDescent="0.25">
      <c r="A8" s="30" t="s">
        <v>32</v>
      </c>
      <c r="B8" s="30">
        <v>300</v>
      </c>
      <c r="C8" s="30">
        <f t="shared" si="0"/>
        <v>12943</v>
      </c>
      <c r="D8" s="30"/>
    </row>
    <row r="9" spans="1:4" x14ac:dyDescent="0.25">
      <c r="A9" s="30" t="s">
        <v>33</v>
      </c>
      <c r="B9" s="30">
        <v>400</v>
      </c>
      <c r="C9" s="30">
        <f t="shared" si="0"/>
        <v>13343</v>
      </c>
      <c r="D9" s="30"/>
    </row>
    <row r="10" spans="1:4" x14ac:dyDescent="0.25">
      <c r="A10" s="30" t="s">
        <v>34</v>
      </c>
      <c r="B10" s="30">
        <v>200</v>
      </c>
      <c r="C10" s="30">
        <f t="shared" si="0"/>
        <v>13543</v>
      </c>
      <c r="D10" s="30">
        <f>C10</f>
        <v>13543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F156-6434-4D96-AC4A-89ADB4F33AB2}">
  <dimension ref="A1:E4"/>
  <sheetViews>
    <sheetView workbookViewId="0">
      <selection activeCell="D3" sqref="D3"/>
    </sheetView>
  </sheetViews>
  <sheetFormatPr defaultRowHeight="15" x14ac:dyDescent="0.25"/>
  <cols>
    <col min="1" max="1" width="14.85546875" customWidth="1"/>
    <col min="4" max="4" width="10.85546875" customWidth="1"/>
    <col min="5" max="5" width="12.85546875" customWidth="1"/>
  </cols>
  <sheetData>
    <row r="1" spans="1:5" ht="18.75" x14ac:dyDescent="0.3">
      <c r="A1" s="51" t="s">
        <v>42</v>
      </c>
      <c r="B1" s="52"/>
      <c r="C1" s="52"/>
      <c r="D1" s="52"/>
      <c r="E1" s="53"/>
    </row>
    <row r="2" spans="1:5" ht="30" x14ac:dyDescent="0.25">
      <c r="A2" s="37" t="s">
        <v>43</v>
      </c>
      <c r="B2" s="37" t="s">
        <v>14</v>
      </c>
      <c r="C2" s="37" t="s">
        <v>26</v>
      </c>
      <c r="D2" s="38" t="s">
        <v>17</v>
      </c>
      <c r="E2" s="37" t="s">
        <v>45</v>
      </c>
    </row>
    <row r="3" spans="1:5" x14ac:dyDescent="0.25">
      <c r="A3" s="33" t="s">
        <v>44</v>
      </c>
      <c r="B3" s="34">
        <v>46027</v>
      </c>
      <c r="C3" s="30">
        <v>45632</v>
      </c>
      <c r="D3" s="30">
        <f>'office overhead'!C3</f>
        <v>45632</v>
      </c>
      <c r="E3" s="30"/>
    </row>
    <row r="4" spans="1:5" x14ac:dyDescent="0.25">
      <c r="A4" s="31"/>
      <c r="B4" s="34">
        <v>46058</v>
      </c>
      <c r="C4" s="30">
        <v>23000</v>
      </c>
      <c r="D4" s="30">
        <f>(D3+C4)</f>
        <v>68632</v>
      </c>
      <c r="E4" s="30">
        <f>D4</f>
        <v>68632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7182-969F-4C4B-BDB6-7095C753B3C1}">
  <dimension ref="A1:C7"/>
  <sheetViews>
    <sheetView workbookViewId="0">
      <selection activeCell="B4" sqref="B4"/>
    </sheetView>
  </sheetViews>
  <sheetFormatPr defaultRowHeight="15" x14ac:dyDescent="0.25"/>
  <sheetData>
    <row r="1" spans="1:3" ht="18.75" x14ac:dyDescent="0.3">
      <c r="A1" s="56" t="s">
        <v>50</v>
      </c>
      <c r="B1" s="57"/>
      <c r="C1" s="58"/>
    </row>
    <row r="2" spans="1:3" x14ac:dyDescent="0.25">
      <c r="A2" s="44" t="s">
        <v>1</v>
      </c>
      <c r="B2" s="44" t="s">
        <v>48</v>
      </c>
      <c r="C2" s="44" t="s">
        <v>49</v>
      </c>
    </row>
    <row r="3" spans="1:3" x14ac:dyDescent="0.25">
      <c r="A3" s="34">
        <v>46027</v>
      </c>
      <c r="B3" s="30">
        <v>345678</v>
      </c>
      <c r="C3" s="30"/>
    </row>
    <row r="4" spans="1:3" x14ac:dyDescent="0.25">
      <c r="A4" s="34">
        <v>46058</v>
      </c>
      <c r="B4" s="30">
        <v>211000</v>
      </c>
      <c r="C4" s="30"/>
    </row>
    <row r="5" spans="1:3" x14ac:dyDescent="0.25">
      <c r="A5" s="34">
        <v>46086</v>
      </c>
      <c r="B5" s="30">
        <v>467000</v>
      </c>
      <c r="C5" s="30"/>
    </row>
    <row r="6" spans="1:3" x14ac:dyDescent="0.25">
      <c r="A6" s="34">
        <v>46117</v>
      </c>
      <c r="B6" s="30">
        <v>410000</v>
      </c>
      <c r="C6" s="30"/>
    </row>
    <row r="7" spans="1:3" x14ac:dyDescent="0.25">
      <c r="A7" s="34">
        <v>46147</v>
      </c>
      <c r="B7" s="30">
        <v>500000</v>
      </c>
      <c r="C7" s="30">
        <f>SUM(B3:B7)</f>
        <v>1933678</v>
      </c>
    </row>
  </sheetData>
  <mergeCells count="1">
    <mergeCell ref="A1:C1"/>
  </mergeCell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workbookViewId="0">
      <selection activeCell="I5" sqref="I5"/>
    </sheetView>
  </sheetViews>
  <sheetFormatPr defaultRowHeight="20.25" customHeight="1" x14ac:dyDescent="0.25"/>
  <cols>
    <col min="1" max="1" width="14" style="1" customWidth="1"/>
    <col min="2" max="2" width="55.7109375" bestFit="1" customWidth="1"/>
    <col min="3" max="3" width="16.85546875" customWidth="1"/>
    <col min="4" max="4" width="18.5703125" style="2" customWidth="1"/>
    <col min="5" max="5" width="17.7109375" style="3" customWidth="1"/>
    <col min="6" max="6" width="17.42578125" customWidth="1"/>
    <col min="7" max="7" width="12.140625" customWidth="1"/>
    <col min="8" max="8" width="11" customWidth="1"/>
  </cols>
  <sheetData>
    <row r="1" spans="1:8" ht="20.25" customHeight="1" x14ac:dyDescent="0.35">
      <c r="A1" s="59" t="s">
        <v>0</v>
      </c>
      <c r="B1" s="59"/>
      <c r="C1" s="59"/>
      <c r="D1" s="59"/>
      <c r="E1" s="59"/>
      <c r="F1" s="59"/>
    </row>
    <row r="2" spans="1:8" ht="20.25" customHeight="1" x14ac:dyDescent="0.25">
      <c r="F2" s="4">
        <v>46117</v>
      </c>
    </row>
    <row r="3" spans="1:8" ht="34.5" customHeight="1" x14ac:dyDescent="0.25">
      <c r="A3" s="5" t="s">
        <v>1</v>
      </c>
      <c r="B3" s="6" t="s">
        <v>2</v>
      </c>
      <c r="C3" s="7" t="s">
        <v>3</v>
      </c>
      <c r="D3" s="7" t="s">
        <v>4</v>
      </c>
      <c r="E3" s="8" t="s">
        <v>5</v>
      </c>
      <c r="F3" s="7" t="s">
        <v>6</v>
      </c>
      <c r="G3" s="7" t="s">
        <v>46</v>
      </c>
      <c r="H3" s="7" t="s">
        <v>54</v>
      </c>
    </row>
    <row r="4" spans="1:8" ht="20.25" customHeight="1" x14ac:dyDescent="0.25">
      <c r="A4" s="9"/>
      <c r="B4" s="10"/>
      <c r="C4" s="11"/>
      <c r="D4" s="12"/>
      <c r="E4" s="13"/>
      <c r="F4" s="14">
        <f>D4</f>
        <v>0</v>
      </c>
      <c r="G4" s="30"/>
      <c r="H4" s="30"/>
    </row>
    <row r="5" spans="1:8" ht="20.25" customHeight="1" x14ac:dyDescent="0.25">
      <c r="A5" s="9"/>
      <c r="B5" s="10"/>
      <c r="C5" s="11"/>
      <c r="D5" s="15"/>
      <c r="E5" s="16"/>
      <c r="F5" s="17">
        <f t="shared" ref="F5:F45" si="0">+F4+D5-E5</f>
        <v>0</v>
      </c>
      <c r="G5" s="30"/>
      <c r="H5" s="30"/>
    </row>
    <row r="6" spans="1:8" ht="20.25" customHeight="1" x14ac:dyDescent="0.25">
      <c r="A6" s="9"/>
      <c r="B6" s="18"/>
      <c r="C6" s="19"/>
      <c r="D6" s="20"/>
      <c r="E6" s="21"/>
      <c r="F6" s="17">
        <f t="shared" si="0"/>
        <v>0</v>
      </c>
      <c r="G6" s="30"/>
      <c r="H6" s="30"/>
    </row>
    <row r="7" spans="1:8" ht="20.25" customHeight="1" x14ac:dyDescent="0.25">
      <c r="A7" s="9"/>
      <c r="B7" s="18"/>
      <c r="C7" s="19"/>
      <c r="D7" s="20"/>
      <c r="E7" s="21"/>
      <c r="F7" s="17">
        <f t="shared" si="0"/>
        <v>0</v>
      </c>
      <c r="G7" s="30"/>
      <c r="H7" s="30"/>
    </row>
    <row r="8" spans="1:8" ht="20.25" customHeight="1" x14ac:dyDescent="0.25">
      <c r="A8" s="9"/>
      <c r="B8" s="18"/>
      <c r="C8" s="19"/>
      <c r="D8" s="20"/>
      <c r="E8" s="21"/>
      <c r="F8" s="17">
        <f t="shared" si="0"/>
        <v>0</v>
      </c>
      <c r="G8" s="30"/>
      <c r="H8" s="30"/>
    </row>
    <row r="9" spans="1:8" ht="20.25" customHeight="1" x14ac:dyDescent="0.25">
      <c r="A9" s="9"/>
      <c r="B9" s="18"/>
      <c r="C9" s="19"/>
      <c r="D9" s="20"/>
      <c r="E9" s="21"/>
      <c r="F9" s="17">
        <f t="shared" si="0"/>
        <v>0</v>
      </c>
      <c r="G9" s="30"/>
      <c r="H9" s="30"/>
    </row>
    <row r="10" spans="1:8" ht="20.25" customHeight="1" x14ac:dyDescent="0.25">
      <c r="A10" s="9"/>
      <c r="B10" s="10"/>
      <c r="C10" s="19"/>
      <c r="D10" s="20"/>
      <c r="E10" s="21"/>
      <c r="F10" s="17">
        <f t="shared" si="0"/>
        <v>0</v>
      </c>
      <c r="G10" s="30"/>
      <c r="H10" s="30"/>
    </row>
    <row r="11" spans="1:8" ht="20.25" customHeight="1" x14ac:dyDescent="0.25">
      <c r="A11" s="9"/>
      <c r="B11" s="18"/>
      <c r="C11" s="19"/>
      <c r="D11" s="20"/>
      <c r="E11" s="21"/>
      <c r="F11" s="17">
        <f t="shared" si="0"/>
        <v>0</v>
      </c>
      <c r="G11" s="30"/>
      <c r="H11" s="30"/>
    </row>
    <row r="12" spans="1:8" ht="20.25" customHeight="1" x14ac:dyDescent="0.25">
      <c r="A12" s="9"/>
      <c r="B12" s="18"/>
      <c r="C12" s="19"/>
      <c r="D12" s="20"/>
      <c r="E12" s="21"/>
      <c r="F12" s="17">
        <f t="shared" si="0"/>
        <v>0</v>
      </c>
      <c r="G12" s="30"/>
      <c r="H12" s="30"/>
    </row>
    <row r="13" spans="1:8" ht="20.25" customHeight="1" x14ac:dyDescent="0.25">
      <c r="A13" s="9"/>
      <c r="B13" s="18"/>
      <c r="C13" s="19"/>
      <c r="D13" s="20"/>
      <c r="E13" s="21"/>
      <c r="F13" s="17">
        <f t="shared" si="0"/>
        <v>0</v>
      </c>
      <c r="G13" s="30"/>
      <c r="H13" s="30"/>
    </row>
    <row r="14" spans="1:8" ht="20.25" customHeight="1" x14ac:dyDescent="0.25">
      <c r="A14" s="9"/>
      <c r="B14" s="18"/>
      <c r="C14" s="19"/>
      <c r="D14" s="20"/>
      <c r="E14" s="21"/>
      <c r="F14" s="17">
        <f t="shared" si="0"/>
        <v>0</v>
      </c>
      <c r="G14" s="30"/>
      <c r="H14" s="30"/>
    </row>
    <row r="15" spans="1:8" ht="20.25" customHeight="1" x14ac:dyDescent="0.25">
      <c r="A15" s="9"/>
      <c r="B15" s="18"/>
      <c r="C15" s="19"/>
      <c r="D15" s="20"/>
      <c r="E15" s="21"/>
      <c r="F15" s="17">
        <f t="shared" si="0"/>
        <v>0</v>
      </c>
      <c r="G15" s="30"/>
      <c r="H15" s="30"/>
    </row>
    <row r="16" spans="1:8" ht="20.25" customHeight="1" x14ac:dyDescent="0.25">
      <c r="A16" s="9"/>
      <c r="B16" s="18"/>
      <c r="C16" s="19"/>
      <c r="D16" s="20"/>
      <c r="E16" s="21"/>
      <c r="F16" s="17">
        <f t="shared" si="0"/>
        <v>0</v>
      </c>
      <c r="G16" s="30"/>
      <c r="H16" s="30"/>
    </row>
    <row r="17" spans="1:8" ht="20.25" customHeight="1" x14ac:dyDescent="0.25">
      <c r="A17" s="9"/>
      <c r="B17" s="10"/>
      <c r="C17" s="19"/>
      <c r="D17" s="20"/>
      <c r="E17" s="21"/>
      <c r="F17" s="17">
        <f t="shared" si="0"/>
        <v>0</v>
      </c>
      <c r="G17" s="30"/>
      <c r="H17" s="30"/>
    </row>
    <row r="18" spans="1:8" ht="20.25" customHeight="1" x14ac:dyDescent="0.25">
      <c r="A18" s="9"/>
      <c r="B18" s="18"/>
      <c r="C18" s="19"/>
      <c r="D18" s="20"/>
      <c r="E18" s="21"/>
      <c r="F18" s="17">
        <f t="shared" si="0"/>
        <v>0</v>
      </c>
      <c r="G18" s="30"/>
      <c r="H18" s="30"/>
    </row>
    <row r="19" spans="1:8" ht="20.25" customHeight="1" x14ac:dyDescent="0.25">
      <c r="A19" s="9"/>
      <c r="B19" s="18"/>
      <c r="C19" s="19"/>
      <c r="D19" s="20"/>
      <c r="E19" s="21"/>
      <c r="F19" s="17">
        <f t="shared" si="0"/>
        <v>0</v>
      </c>
      <c r="G19" s="30"/>
      <c r="H19" s="30"/>
    </row>
    <row r="20" spans="1:8" ht="20.25" customHeight="1" x14ac:dyDescent="0.25">
      <c r="A20" s="9"/>
      <c r="B20" s="10"/>
      <c r="C20" s="19"/>
      <c r="D20" s="20"/>
      <c r="E20" s="21"/>
      <c r="F20" s="17">
        <f t="shared" si="0"/>
        <v>0</v>
      </c>
      <c r="G20" s="30"/>
      <c r="H20" s="30"/>
    </row>
    <row r="21" spans="1:8" ht="20.25" customHeight="1" x14ac:dyDescent="0.25">
      <c r="A21" s="9"/>
      <c r="B21" s="10"/>
      <c r="C21" s="19"/>
      <c r="D21" s="20"/>
      <c r="E21" s="21"/>
      <c r="F21" s="17">
        <f t="shared" si="0"/>
        <v>0</v>
      </c>
      <c r="G21" s="30"/>
      <c r="H21" s="30"/>
    </row>
    <row r="22" spans="1:8" ht="20.25" customHeight="1" x14ac:dyDescent="0.25">
      <c r="A22" s="9"/>
      <c r="B22" s="10"/>
      <c r="C22" s="19"/>
      <c r="D22" s="20"/>
      <c r="E22" s="21"/>
      <c r="F22" s="17">
        <f t="shared" si="0"/>
        <v>0</v>
      </c>
      <c r="G22" s="30"/>
      <c r="H22" s="30"/>
    </row>
    <row r="23" spans="1:8" ht="20.25" customHeight="1" x14ac:dyDescent="0.25">
      <c r="A23" s="9"/>
      <c r="B23" s="18"/>
      <c r="C23" s="19"/>
      <c r="D23" s="20"/>
      <c r="E23" s="21"/>
      <c r="F23" s="17">
        <f t="shared" si="0"/>
        <v>0</v>
      </c>
      <c r="G23" s="30"/>
      <c r="H23" s="30"/>
    </row>
    <row r="24" spans="1:8" ht="20.25" customHeight="1" x14ac:dyDescent="0.25">
      <c r="A24" s="9"/>
      <c r="B24" s="10"/>
      <c r="C24" s="19"/>
      <c r="D24" s="20"/>
      <c r="E24" s="21"/>
      <c r="F24" s="17">
        <f t="shared" si="0"/>
        <v>0</v>
      </c>
      <c r="G24" s="30"/>
      <c r="H24" s="30"/>
    </row>
    <row r="25" spans="1:8" ht="20.25" customHeight="1" x14ac:dyDescent="0.25">
      <c r="A25" s="9"/>
      <c r="B25" s="9"/>
      <c r="C25" s="19"/>
      <c r="D25" s="20"/>
      <c r="E25" s="21"/>
      <c r="F25" s="17">
        <f t="shared" si="0"/>
        <v>0</v>
      </c>
      <c r="G25" s="30"/>
      <c r="H25" s="30"/>
    </row>
    <row r="26" spans="1:8" ht="20.25" customHeight="1" x14ac:dyDescent="0.25">
      <c r="A26" s="9"/>
      <c r="B26" s="10"/>
      <c r="C26" s="19"/>
      <c r="D26" s="20"/>
      <c r="E26" s="21"/>
      <c r="F26" s="17">
        <f t="shared" si="0"/>
        <v>0</v>
      </c>
      <c r="G26" s="30"/>
      <c r="H26" s="30"/>
    </row>
    <row r="27" spans="1:8" ht="20.25" customHeight="1" x14ac:dyDescent="0.25">
      <c r="A27" s="9"/>
      <c r="B27" s="18"/>
      <c r="C27" s="19"/>
      <c r="D27" s="20"/>
      <c r="E27" s="21"/>
      <c r="F27" s="17">
        <f t="shared" si="0"/>
        <v>0</v>
      </c>
      <c r="G27" s="30"/>
      <c r="H27" s="30"/>
    </row>
    <row r="28" spans="1:8" ht="20.25" customHeight="1" x14ac:dyDescent="0.25">
      <c r="A28" s="9"/>
      <c r="B28" s="10"/>
      <c r="C28" s="19"/>
      <c r="D28" s="20"/>
      <c r="E28" s="21"/>
      <c r="F28" s="17">
        <f t="shared" si="0"/>
        <v>0</v>
      </c>
      <c r="G28" s="30"/>
      <c r="H28" s="30"/>
    </row>
    <row r="29" spans="1:8" ht="20.25" customHeight="1" x14ac:dyDescent="0.25">
      <c r="A29" s="9"/>
      <c r="B29" s="18"/>
      <c r="C29" s="19"/>
      <c r="D29" s="20"/>
      <c r="E29" s="21"/>
      <c r="F29" s="17">
        <f t="shared" si="0"/>
        <v>0</v>
      </c>
      <c r="G29" s="30"/>
      <c r="H29" s="30"/>
    </row>
    <row r="30" spans="1:8" ht="20.25" customHeight="1" x14ac:dyDescent="0.25">
      <c r="A30" s="9"/>
      <c r="B30" s="10"/>
      <c r="C30" s="19"/>
      <c r="D30" s="20"/>
      <c r="E30" s="21"/>
      <c r="F30" s="17">
        <f t="shared" si="0"/>
        <v>0</v>
      </c>
      <c r="G30" s="30"/>
      <c r="H30" s="30"/>
    </row>
    <row r="31" spans="1:8" ht="20.25" customHeight="1" x14ac:dyDescent="0.25">
      <c r="A31" s="9"/>
      <c r="B31" s="18"/>
      <c r="C31" s="19"/>
      <c r="D31" s="20"/>
      <c r="E31" s="21"/>
      <c r="F31" s="17">
        <f t="shared" si="0"/>
        <v>0</v>
      </c>
      <c r="G31" s="30"/>
      <c r="H31" s="30"/>
    </row>
    <row r="32" spans="1:8" ht="20.25" customHeight="1" x14ac:dyDescent="0.25">
      <c r="A32" s="9"/>
      <c r="B32" s="10"/>
      <c r="C32" s="19"/>
      <c r="D32" s="20"/>
      <c r="E32" s="21"/>
      <c r="F32" s="17">
        <f t="shared" si="0"/>
        <v>0</v>
      </c>
      <c r="G32" s="30"/>
      <c r="H32" s="30"/>
    </row>
    <row r="33" spans="1:8" ht="20.25" customHeight="1" x14ac:dyDescent="0.25">
      <c r="A33" s="9"/>
      <c r="B33" s="10"/>
      <c r="C33" s="19"/>
      <c r="D33" s="20"/>
      <c r="E33" s="21"/>
      <c r="F33" s="17">
        <f t="shared" si="0"/>
        <v>0</v>
      </c>
      <c r="G33" s="30"/>
      <c r="H33" s="30"/>
    </row>
    <row r="34" spans="1:8" ht="20.25" customHeight="1" x14ac:dyDescent="0.25">
      <c r="A34" s="9"/>
      <c r="B34" s="18"/>
      <c r="C34" s="19"/>
      <c r="D34" s="20"/>
      <c r="E34" s="21"/>
      <c r="F34" s="17">
        <f t="shared" si="0"/>
        <v>0</v>
      </c>
      <c r="G34" s="30"/>
      <c r="H34" s="30"/>
    </row>
    <row r="35" spans="1:8" ht="20.25" customHeight="1" x14ac:dyDescent="0.25">
      <c r="A35" s="9"/>
      <c r="B35" s="10"/>
      <c r="C35" s="19"/>
      <c r="D35" s="20"/>
      <c r="E35" s="21"/>
      <c r="F35" s="17">
        <f t="shared" si="0"/>
        <v>0</v>
      </c>
      <c r="G35" s="30"/>
      <c r="H35" s="30"/>
    </row>
    <row r="36" spans="1:8" ht="20.25" customHeight="1" x14ac:dyDescent="0.25">
      <c r="A36" s="9"/>
      <c r="B36" s="18"/>
      <c r="C36" s="19"/>
      <c r="D36" s="20"/>
      <c r="E36" s="21"/>
      <c r="F36" s="17">
        <f t="shared" si="0"/>
        <v>0</v>
      </c>
      <c r="G36" s="30"/>
      <c r="H36" s="30"/>
    </row>
    <row r="37" spans="1:8" ht="20.25" customHeight="1" x14ac:dyDescent="0.25">
      <c r="A37" s="9"/>
      <c r="B37" s="10"/>
      <c r="C37" s="19"/>
      <c r="D37" s="20"/>
      <c r="E37" s="21"/>
      <c r="F37" s="17">
        <f t="shared" si="0"/>
        <v>0</v>
      </c>
      <c r="G37" s="30"/>
      <c r="H37" s="30"/>
    </row>
    <row r="38" spans="1:8" ht="20.25" customHeight="1" x14ac:dyDescent="0.25">
      <c r="A38" s="9"/>
      <c r="B38" s="18"/>
      <c r="C38" s="19"/>
      <c r="D38" s="20"/>
      <c r="E38" s="21"/>
      <c r="F38" s="17">
        <f t="shared" si="0"/>
        <v>0</v>
      </c>
      <c r="G38" s="30"/>
      <c r="H38" s="30"/>
    </row>
    <row r="39" spans="1:8" ht="20.25" customHeight="1" x14ac:dyDescent="0.25">
      <c r="A39" s="9"/>
      <c r="B39" s="18"/>
      <c r="C39" s="19"/>
      <c r="D39" s="20"/>
      <c r="E39" s="21"/>
      <c r="F39" s="17">
        <f t="shared" si="0"/>
        <v>0</v>
      </c>
      <c r="G39" s="30"/>
      <c r="H39" s="30"/>
    </row>
    <row r="40" spans="1:8" ht="20.25" customHeight="1" x14ac:dyDescent="0.25">
      <c r="A40" s="9"/>
      <c r="B40" s="18"/>
      <c r="C40" s="19"/>
      <c r="D40" s="20"/>
      <c r="E40" s="21"/>
      <c r="F40" s="17">
        <f t="shared" si="0"/>
        <v>0</v>
      </c>
      <c r="G40" s="30"/>
      <c r="H40" s="30"/>
    </row>
    <row r="41" spans="1:8" ht="20.25" customHeight="1" x14ac:dyDescent="0.25">
      <c r="A41" s="9"/>
      <c r="B41" s="18"/>
      <c r="C41" s="19"/>
      <c r="D41" s="20"/>
      <c r="E41" s="21"/>
      <c r="F41" s="17">
        <f t="shared" si="0"/>
        <v>0</v>
      </c>
      <c r="G41" s="30"/>
      <c r="H41" s="30"/>
    </row>
    <row r="42" spans="1:8" ht="20.25" customHeight="1" x14ac:dyDescent="0.25">
      <c r="A42" s="9"/>
      <c r="B42" s="18"/>
      <c r="C42" s="19"/>
      <c r="D42" s="20"/>
      <c r="E42" s="21"/>
      <c r="F42" s="17">
        <f t="shared" si="0"/>
        <v>0</v>
      </c>
      <c r="G42" s="30"/>
      <c r="H42" s="30"/>
    </row>
    <row r="43" spans="1:8" ht="20.25" customHeight="1" x14ac:dyDescent="0.25">
      <c r="A43" s="9"/>
      <c r="B43" s="18"/>
      <c r="C43" s="19"/>
      <c r="D43" s="20"/>
      <c r="E43" s="21"/>
      <c r="F43" s="17">
        <f t="shared" si="0"/>
        <v>0</v>
      </c>
      <c r="G43" s="30"/>
      <c r="H43" s="30"/>
    </row>
    <row r="44" spans="1:8" ht="20.25" customHeight="1" x14ac:dyDescent="0.25">
      <c r="A44" s="9"/>
      <c r="B44" s="18"/>
      <c r="C44" s="19"/>
      <c r="D44" s="20"/>
      <c r="E44" s="21"/>
      <c r="F44" s="17">
        <f t="shared" si="0"/>
        <v>0</v>
      </c>
      <c r="G44" s="30"/>
      <c r="H44" s="30"/>
    </row>
    <row r="45" spans="1:8" ht="20.25" customHeight="1" x14ac:dyDescent="0.25">
      <c r="A45" s="9"/>
      <c r="B45" s="10"/>
      <c r="C45" s="19"/>
      <c r="D45" s="20"/>
      <c r="E45" s="21"/>
      <c r="F45" s="17">
        <f t="shared" si="0"/>
        <v>0</v>
      </c>
      <c r="G45" s="30"/>
      <c r="H45" s="30"/>
    </row>
    <row r="46" spans="1:8" ht="20.25" customHeight="1" x14ac:dyDescent="0.25">
      <c r="A46" s="60" t="s">
        <v>7</v>
      </c>
      <c r="B46" s="60"/>
      <c r="C46" s="22">
        <f>SUM(C4:C5)</f>
        <v>0</v>
      </c>
      <c r="D46" s="22">
        <f>SUM(D4:D45)</f>
        <v>0</v>
      </c>
      <c r="E46" s="23">
        <f>SUM(E5:E45)</f>
        <v>0</v>
      </c>
      <c r="F46" s="24">
        <f>D46-E46</f>
        <v>0</v>
      </c>
      <c r="G46" s="30"/>
      <c r="H46" s="30"/>
    </row>
    <row r="47" spans="1:8" ht="20.25" customHeight="1" x14ac:dyDescent="0.25">
      <c r="F47" s="26"/>
      <c r="G47" s="25"/>
    </row>
    <row r="48" spans="1:8" ht="20.25" customHeight="1" x14ac:dyDescent="0.25">
      <c r="F48" s="25"/>
    </row>
    <row r="49" spans="1:7" ht="20.25" customHeight="1" x14ac:dyDescent="0.25">
      <c r="F49" s="25"/>
    </row>
    <row r="53" spans="1:7" s="3" customFormat="1" ht="20.25" customHeight="1" x14ac:dyDescent="0.25">
      <c r="A53" s="1"/>
      <c r="B53"/>
      <c r="C53"/>
      <c r="D53" s="2"/>
      <c r="F53"/>
      <c r="G53"/>
    </row>
    <row r="54" spans="1:7" s="3" customFormat="1" ht="20.25" customHeight="1" x14ac:dyDescent="0.25">
      <c r="A54" s="1"/>
      <c r="B54"/>
      <c r="C54"/>
      <c r="D54" s="2"/>
      <c r="F54"/>
      <c r="G54"/>
    </row>
    <row r="55" spans="1:7" s="3" customFormat="1" ht="20.25" customHeight="1" x14ac:dyDescent="0.25">
      <c r="A55" s="1"/>
      <c r="B55"/>
      <c r="C55" s="27"/>
      <c r="D55" s="2"/>
      <c r="F55"/>
      <c r="G55"/>
    </row>
  </sheetData>
  <mergeCells count="2">
    <mergeCell ref="A1:F1"/>
    <mergeCell ref="A46:B46"/>
  </mergeCells>
  <pageMargins left="0.7" right="0.7" top="0.75" bottom="0.75" header="0.3" footer="0.3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Contactors payment</vt:lpstr>
      <vt:lpstr>material cost</vt:lpstr>
      <vt:lpstr>Site expense and convence</vt:lpstr>
      <vt:lpstr>office overhead</vt:lpstr>
      <vt:lpstr>Received amount</vt:lpstr>
      <vt:lpstr>Updated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zawad Arch</dc:creator>
  <cp:lastModifiedBy>Archeground Ltd</cp:lastModifiedBy>
  <dcterms:created xsi:type="dcterms:W3CDTF">2026-05-11T10:31:05Z</dcterms:created>
  <dcterms:modified xsi:type="dcterms:W3CDTF">2026-05-13T08:31:38Z</dcterms:modified>
</cp:coreProperties>
</file>